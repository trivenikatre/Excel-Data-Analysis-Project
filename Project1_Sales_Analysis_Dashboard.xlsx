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true" localSheetId="1" name="_xlnm._FilterDatabase" vbProcedure="false">Data!$A$1:$H$151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<sst xmlns="http://schemas.openxmlformats.org/spreadsheetml/2006/main" count="501" uniqueCount="194">
  <si>
    <t xml:space="preserve">Sales Analysis Dashboard - 2025</t>
  </si>
  <si>
    <t xml:space="preserve">KEY METRICS</t>
  </si>
  <si>
    <t xml:space="preserve">Total Sales (Rs)</t>
  </si>
  <si>
    <t xml:space="preserve">Total Orders</t>
  </si>
  <si>
    <t xml:space="preserve">Average Order Value (Rs)</t>
  </si>
  <si>
    <t xml:space="preserve">Units Sold</t>
  </si>
  <si>
    <t xml:space="preserve">Top Region</t>
  </si>
  <si>
    <t xml:space="preserve">Top Product</t>
  </si>
  <si>
    <t xml:space="preserve">SALES BY REGION</t>
  </si>
  <si>
    <t xml:space="preserve">Region</t>
  </si>
  <si>
    <t xml:space="preserve">Sales (Rs)</t>
  </si>
  <si>
    <t xml:space="preserve">% of Total</t>
  </si>
  <si>
    <t xml:space="preserve">North</t>
  </si>
  <si>
    <t xml:space="preserve">South</t>
  </si>
  <si>
    <t xml:space="preserve">East</t>
  </si>
  <si>
    <t xml:space="preserve">West</t>
  </si>
  <si>
    <t xml:space="preserve">SALES BY PRODUCT</t>
  </si>
  <si>
    <t xml:space="preserve">Product</t>
  </si>
  <si>
    <t xml:space="preserve">Laptop</t>
  </si>
  <si>
    <t xml:space="preserve">Mobile</t>
  </si>
  <si>
    <t xml:space="preserve">Tablet</t>
  </si>
  <si>
    <t xml:space="preserve">Headphones</t>
  </si>
  <si>
    <t xml:space="preserve">Smart Watch</t>
  </si>
  <si>
    <t xml:space="preserve">MONTHLY SALES TREND</t>
  </si>
  <si>
    <t xml:space="preserve">Month</t>
  </si>
  <si>
    <t xml:space="preserve">Month No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</si>
  <si>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</si>
  <si>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</si>
  <si>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</si>
  <si>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</si>
  <si>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</si>
  <si>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</si>
  <si>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</si>
  <si>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</si>
  <si>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</si>
  <si>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</si>
  <si>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</si>
  <si>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</si>
  <si>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All figures are calculated with SUMIFS/COUNTA/INDEX-MATCH formulas from the Data sheet and update automatically.</t>
  </si>
  <si>
    <t xml:space="preserve">Order ID</t>
  </si>
  <si>
    <t xml:space="preserve">Order Date</t>
  </si>
  <si>
    <t xml:space="preserve">Quantity</t>
  </si>
  <si>
    <t xml:space="preserve">Unit Price (Rs)</t>
  </si>
  <si>
    <t xml:space="preserve">Note: sample practice dataset created for this project (not real company data).</t>
  </si>
  <si>
    <t xml:space="preserve">ORD1001</t>
  </si>
  <si>
    <t xml:space="preserve">ORD1002</t>
  </si>
  <si>
    <t xml:space="preserve">ORD1003</t>
  </si>
  <si>
    <t xml:space="preserve">ORD1004</t>
  </si>
  <si>
    <t xml:space="preserve">ORD1005</t>
  </si>
  <si>
    <t xml:space="preserve">ORD1006</t>
  </si>
  <si>
    <t xml:space="preserve">ORD1007</t>
  </si>
  <si>
    <t xml:space="preserve">ORD1008</t>
  </si>
  <si>
    <t xml:space="preserve">ORD1009</t>
  </si>
  <si>
    <t xml:space="preserve">ORD1010</t>
  </si>
  <si>
    <t xml:space="preserve">ORD1011</t>
  </si>
  <si>
    <t xml:space="preserve">ORD1012</t>
  </si>
  <si>
    <t xml:space="preserve">ORD1013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</si>
  <si>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</si>
  <si>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</si>
  <si>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</si>
  <si>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</si>
  <si>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</si>
  <si>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</si>
  <si>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</si>
  <si>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ORD1021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</si>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</sst>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0.0%"/>
    <numFmt numFmtId="168" formatCode="dd\-mmm\-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Dashboard!$B$12:$B$15</c:f>
              <c:numCache>
                <c:formatCode>#,##0</c:formatCode>
                <c:ptCount val="4"/>
                <c:pt idx="0">
                  <c:v>3645000</c:v>
                </c:pt>
                <c:pt idx="1">
                  <c:v>4848000</c:v>
                </c:pt>
                <c:pt idx="2">
                  <c:v>3926500</c:v>
                </c:pt>
                <c:pt idx="3">
                  <c:v>2411000</c:v>
                </c:pt>
              </c:numCache>
            </c:numRef>
          </c:val>
        </c:ser>
        <c:gapWidth val="150"/>
        <c:overlap val="0"/>
        <c:axId val="15373825"/>
        <c:axId val="23939093"/>
      </c:barChart>
      <c:catAx>
        <c:axId val="153738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39093"/>
        <c:crosses val="autoZero"/>
        <c:auto val="1"/>
        <c:lblAlgn val="ctr"/>
        <c:lblOffset val="100"/>
        <c:noMultiLvlLbl val="0"/>
      </c:catAx>
      <c:valAx>
        <c:axId val="23939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738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Dashboard!$A$20:$A$24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Headphones</c:v>
                </c:pt>
                <c:pt idx="4">
                  <c:v>Smart Watch</c:v>
                </c:pt>
              </c:strCache>
            </c:strRef>
          </c:cat>
          <c:val>
            <c:numRef>
              <c:f>Dashboard!$B$20:$B$24</c:f>
              <c:numCache>
                <c:formatCode>#,##0</c:formatCode>
                <c:ptCount val="5"/>
                <c:pt idx="0">
                  <c:v>7755000</c:v>
                </c:pt>
                <c:pt idx="1">
                  <c:v>3132000</c:v>
                </c:pt>
                <c:pt idx="2">
                  <c:v>2970000</c:v>
                </c:pt>
                <c:pt idx="3">
                  <c:v>277500</c:v>
                </c:pt>
                <c:pt idx="4">
                  <c:v>696000</c:v>
                </c:pt>
              </c:numCache>
            </c:numRef>
          </c:val>
        </c:ser>
        <c:gapWidth val="150"/>
        <c:overlap val="0"/>
        <c:axId val="12129558"/>
        <c:axId val="16786663"/>
      </c:barChart>
      <c:catAx>
        <c:axId val="12129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86663"/>
        <c:crosses val="autoZero"/>
        <c:auto val="1"/>
        <c:lblAlgn val="ctr"/>
        <c:lblOffset val="100"/>
        <c:noMultiLvlLbl val="0"/>
      </c:catAx>
      <c:valAx>
        <c:axId val="16786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29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Dashboard!C28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Dashboard!$A$29:$A$40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Dashboard!$C$29:$C$40</c:f>
              <c:numCache>
                <c:formatCode>#,##0</c:formatCode>
                <c:ptCount val="12"/>
                <c:pt idx="0">
                  <c:v>1894000</c:v>
                </c:pt>
                <c:pt idx="1">
                  <c:v>1239500</c:v>
                </c:pt>
                <c:pt idx="2">
                  <c:v>781000</c:v>
                </c:pt>
                <c:pt idx="3">
                  <c:v>1636000</c:v>
                </c:pt>
                <c:pt idx="4">
                  <c:v>1056500</c:v>
                </c:pt>
                <c:pt idx="5">
                  <c:v>371500</c:v>
                </c:pt>
                <c:pt idx="6">
                  <c:v>1047000</c:v>
                </c:pt>
                <c:pt idx="7">
                  <c:v>1761000</c:v>
                </c:pt>
                <c:pt idx="8">
                  <c:v>456000</c:v>
                </c:pt>
                <c:pt idx="9">
                  <c:v>1285000</c:v>
                </c:pt>
                <c:pt idx="10">
                  <c:v>1726000</c:v>
                </c:pt>
                <c:pt idx="11">
                  <c:v>1577000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117620"/>
        <c:axId val="86951973"/>
      </c:lineChart>
      <c:catAx>
        <c:axId val="15117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51973"/>
        <c:crosses val="autoZero"/>
        <c:auto val="1"/>
        <c:lblAlgn val="ctr"/>
        <c:lblOffset val="100"/>
        <c:noMultiLvlLbl val="0"/>
      </c:catAx>
      <c:valAx>
        <c:axId val="86951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17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11</xdr:col>
      <xdr:colOff>399240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4699800" y="380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160560</xdr:rowOff>
    </xdr:from>
    <xdr:to>
      <xdr:col>11</xdr:col>
      <xdr:colOff>399240</xdr:colOff>
      <xdr:row>32</xdr:row>
      <xdr:rowOff>2880</xdr:rowOff>
    </xdr:to>
    <xdr:graphicFrame>
      <xdr:nvGraphicFramePr>
        <xdr:cNvPr id="1" name="Chart 2"/>
        <xdr:cNvGraphicFramePr/>
      </xdr:nvGraphicFramePr>
      <xdr:xfrm>
        <a:off x="4699800" y="34290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33</xdr:row>
      <xdr:rowOff>160920</xdr:rowOff>
    </xdr:from>
    <xdr:to>
      <xdr:col>11</xdr:col>
      <xdr:colOff>399240</xdr:colOff>
      <xdr:row>48</xdr:row>
      <xdr:rowOff>2880</xdr:rowOff>
    </xdr:to>
    <xdr:graphicFrame>
      <xdr:nvGraphicFramePr>
        <xdr:cNvPr id="2" name="Chart 3"/>
        <xdr:cNvGraphicFramePr/>
      </xdr:nvGraphicFramePr>
      <xdr:xfrm>
        <a:off x="4699800" y="6477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f aca="false">SUM(Data!H2:H151)</f>
        <v>14830500</v>
      </c>
    </row>
    <row r="5" customFormat="false" ht="15" hidden="false" customHeight="false" outlineLevel="0" collapsed="false">
      <c r="A5" s="3" t="s">
        <v>3</v>
      </c>
      <c r="B5" s="4" t="n">
        <f aca="false">COUNTA(Data!A2:A151)</f>
        <v>150</v>
      </c>
    </row>
    <row r="6" customFormat="false" ht="15" hidden="false" customHeight="false" outlineLevel="0" collapsed="false">
      <c r="A6" s="3" t="s">
        <v>4</v>
      </c>
      <c r="B6" s="4" t="n">
        <f aca="false">IFERROR(B4/B5,0)</f>
        <v>98870</v>
      </c>
    </row>
    <row r="7" customFormat="false" ht="15" hidden="false" customHeight="false" outlineLevel="0" collapsed="false">
      <c r="A7" s="3" t="s">
        <v>5</v>
      </c>
      <c r="B7" s="4" t="n">
        <f aca="false">SUM(Data!F2:F151)</f>
        <v>677</v>
      </c>
    </row>
    <row r="8" customFormat="false" ht="15" hidden="false" customHeight="false" outlineLevel="0" collapsed="false">
      <c r="A8" s="3" t="s">
        <v>6</v>
      </c>
      <c r="B8" s="5" t="str">
        <f aca="false">INDEX(A12:A15,MATCH(MAX(B12:B15),B12:B15,0))</f>
        <v>South</v>
      </c>
    </row>
    <row r="9" customFormat="false" ht="15" hidden="false" customHeight="false" outlineLevel="0" collapsed="false">
      <c r="A9" s="3" t="s">
        <v>7</v>
      </c>
      <c r="B9" s="5" t="str">
        <f aca="false">INDEX(A20:A24,MATCH(MAX(B20:B24),B20:B24,0))</f>
        <v>Laptop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6" t="s">
        <v>9</v>
      </c>
      <c r="B11" s="6" t="s">
        <v>10</v>
      </c>
      <c r="C11" s="6" t="s">
        <v>11</v>
      </c>
    </row>
    <row r="12" customFormat="false" ht="15" hidden="false" customHeight="false" outlineLevel="0" collapsed="false">
      <c r="A12" s="7" t="s">
        <v>12</v>
      </c>
      <c r="B12" s="4" t="n">
        <f aca="false">SUMIFS(Data!$H$2:$H$151,Data!$D$2:$D$151,A12)</f>
        <v>3645000</v>
      </c>
      <c r="C12" s="8" t="n">
        <f aca="false">IFERROR(B12/$B$4,0)</f>
        <v>0.245777283301305</v>
      </c>
    </row>
    <row r="13" customFormat="false" ht="15" hidden="false" customHeight="false" outlineLevel="0" collapsed="false">
      <c r="A13" s="7" t="s">
        <v>13</v>
      </c>
      <c r="B13" s="4" t="n">
        <f aca="false">SUMIFS(Data!$H$2:$H$151,Data!$D$2:$D$151,A13)</f>
        <v>4848000</v>
      </c>
      <c r="C13" s="8" t="n">
        <f aca="false">IFERROR(B13/$B$4,0)</f>
        <v>0.326893901082229</v>
      </c>
    </row>
    <row r="14" customFormat="false" ht="15" hidden="false" customHeight="false" outlineLevel="0" collapsed="false">
      <c r="A14" s="7" t="s">
        <v>14</v>
      </c>
      <c r="B14" s="4" t="n">
        <f aca="false">SUMIFS(Data!$H$2:$H$151,Data!$D$2:$D$151,A14)</f>
        <v>3926500</v>
      </c>
      <c r="C14" s="8" t="n">
        <f aca="false">IFERROR(B14/$B$4,0)</f>
        <v>0.264758437004821</v>
      </c>
    </row>
    <row r="15" customFormat="false" ht="15" hidden="false" customHeight="false" outlineLevel="0" collapsed="false">
      <c r="A15" s="7" t="s">
        <v>15</v>
      </c>
      <c r="B15" s="4" t="n">
        <f aca="false">SUMIFS(Data!$H$2:$H$151,Data!$D$2:$D$151,A15)</f>
        <v>2411000</v>
      </c>
      <c r="C15" s="8" t="n">
        <f aca="false">IFERROR(B15/$B$4,0)</f>
        <v>0.162570378611645</v>
      </c>
    </row>
    <row r="18" customFormat="false" ht="15" hidden="false" customHeight="false" outlineLevel="0" collapsed="false">
      <c r="A18" s="2" t="s">
        <v>16</v>
      </c>
    </row>
    <row r="19" customFormat="false" ht="15" hidden="false" customHeight="false" outlineLevel="0" collapsed="false">
      <c r="A19" s="6" t="s">
        <v>17</v>
      </c>
      <c r="B19" s="6" t="s">
        <v>10</v>
      </c>
      <c r="C19" s="6" t="s">
        <v>5</v>
      </c>
    </row>
    <row r="20" customFormat="false" ht="15" hidden="false" customHeight="false" outlineLevel="0" collapsed="false">
      <c r="A20" s="7" t="s">
        <v>18</v>
      </c>
      <c r="B20" s="4" t="n">
        <f aca="false">SUMIFS(Data!$H$2:$H$151,Data!$E$2:$E$151,A20)</f>
        <v>7755000</v>
      </c>
      <c r="C20" s="4" t="n">
        <f aca="false">SUMIFS(Data!$F$2:$F$151,Data!$E$2:$E$151,A20)</f>
        <v>141</v>
      </c>
    </row>
    <row r="21" customFormat="false" ht="15" hidden="false" customHeight="false" outlineLevel="0" collapsed="false">
      <c r="A21" s="7" t="s">
        <v>19</v>
      </c>
      <c r="B21" s="4" t="n">
        <f aca="false">SUMIFS(Data!$H$2:$H$151,Data!$E$2:$E$151,A21)</f>
        <v>3132000</v>
      </c>
      <c r="C21" s="4" t="n">
        <f aca="false">SUMIFS(Data!$F$2:$F$151,Data!$E$2:$E$151,A21)</f>
        <v>174</v>
      </c>
    </row>
    <row r="22" customFormat="false" ht="15" hidden="false" customHeight="false" outlineLevel="0" collapsed="false">
      <c r="A22" s="7" t="s">
        <v>20</v>
      </c>
      <c r="B22" s="4" t="n">
        <f aca="false">SUMIFS(Data!$H$2:$H$151,Data!$E$2:$E$151,A22)</f>
        <v>2970000</v>
      </c>
      <c r="C22" s="4" t="n">
        <f aca="false">SUMIFS(Data!$F$2:$F$151,Data!$E$2:$E$151,A22)</f>
        <v>135</v>
      </c>
    </row>
    <row r="23" customFormat="false" ht="15" hidden="false" customHeight="false" outlineLevel="0" collapsed="false">
      <c r="A23" s="7" t="s">
        <v>21</v>
      </c>
      <c r="B23" s="4" t="n">
        <f aca="false">SUMIFS(Data!$H$2:$H$151,Data!$E$2:$E$151,A23)</f>
        <v>277500</v>
      </c>
      <c r="C23" s="4" t="n">
        <f aca="false">SUMIFS(Data!$F$2:$F$151,Data!$E$2:$E$151,A23)</f>
        <v>111</v>
      </c>
    </row>
    <row r="24" customFormat="false" ht="15" hidden="false" customHeight="false" outlineLevel="0" collapsed="false">
      <c r="A24" s="7" t="s">
        <v>22</v>
      </c>
      <c r="B24" s="4" t="n">
        <f aca="false">SUMIFS(Data!$H$2:$H$151,Data!$E$2:$E$151,A24)</f>
        <v>696000</v>
      </c>
      <c r="C24" s="4" t="n">
        <f aca="false">SUMIFS(Data!$F$2:$F$151,Data!$E$2:$E$151,A24)</f>
        <v>116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6" t="s">
        <v>24</v>
      </c>
      <c r="B28" s="6" t="s">
        <v>25</v>
      </c>
      <c r="C28" s="6" t="s">
        <v>10</v>
      </c>
    </row>
    <row r="29" customFormat="false" ht="15" hidden="false" customHeight="false" outlineLevel="0" collapsed="false">
      <c r="A29" s="7" t="s">
        <v>26</v>
      </c>
      <c r="B29" s="7" t="n">
        <v>1</v>
      </c>
      <c r="C29" s="4" t="n">
        <f aca="false">SUMIFS(Data!$H$2:$H$151,Data!$C$2:$C$151,B29)</f>
        <v>1894000</v>
      </c>
    </row>
    <row r="30" customFormat="false" ht="15" hidden="false" customHeight="false" outlineLevel="0" collapsed="false">
      <c r="A30" s="7" t="s">
        <v>27</v>
      </c>
      <c r="B30" s="7" t="n">
        <v>2</v>
      </c>
      <c r="C30" s="4" t="n">
        <f aca="false">SUMIFS(Data!$H$2:$H$151,Data!$C$2:$C$151,B30)</f>
        <v>1239500</v>
      </c>
    </row>
    <row r="31" customFormat="false" ht="15" hidden="false" customHeight="false" outlineLevel="0" collapsed="false">
      <c r="A31" s="7" t="s">
        <v>28</v>
      </c>
      <c r="B31" s="7" t="n">
        <v>3</v>
      </c>
      <c r="C31" s="4" t="n">
        <f aca="false">SUMIFS(Data!$H$2:$H$151,Data!$C$2:$C$151,B31)</f>
        <v>781000</v>
      </c>
    </row>
    <row r="32" customFormat="false" ht="15" hidden="false" customHeight="false" outlineLevel="0" collapsed="false">
      <c r="A32" s="7" t="s">
        <v>29</v>
      </c>
      <c r="B32" s="7" t="n">
        <v>4</v>
      </c>
      <c r="C32" s="4" t="n">
        <f aca="false">SUMIFS(Data!$H$2:$H$151,Data!$C$2:$C$151,B32)</f>
        <v>1636000</v>
      </c>
    </row>
    <row r="33" customFormat="false" ht="15" hidden="false" customHeight="false" outlineLevel="0" collapsed="false">
      <c r="A33" s="7" t="s">
        <v>30</v>
      </c>
      <c r="B33" s="7" t="n">
        <v>5</v>
      </c>
      <c r="C33" s="4" t="n">
        <f aca="false">SUMIFS(Data!$H$2:$H$151,Data!$C$2:$C$151,B33)</f>
        <v>1056500</v>
      </c>
    </row>
    <row r="34" customFormat="false" ht="15" hidden="false" customHeight="false" outlineLevel="0" collapsed="false">
      <c r="A34" s="7" t="s">
        <v>31</v>
      </c>
      <c r="B34" s="7" t="n">
        <v>6</v>
      </c>
      <c r="C34" s="4" t="n">
        <f aca="false">SUMIFS(Data!$H$2:$H$151,Data!$C$2:$C$151,B34)</f>
        <v>371500</v>
      </c>
    </row>
    <row r="35" customFormat="false" ht="15" hidden="false" customHeight="false" outlineLevel="0" collapsed="false">
      <c r="A35" s="7" t="s">
        <v>32</v>
      </c>
      <c r="B35" s="7" t="n">
        <v>7</v>
      </c>
      <c r="C35" s="4" t="n">
        <f aca="false">SUMIFS(Data!$H$2:$H$151,Data!$C$2:$C$151,B35)</f>
        <v>1047000</v>
      </c>
    </row>
    <row r="36" customFormat="false" ht="15" hidden="false" customHeight="false" outlineLevel="0" collapsed="false">
      <c r="A36" s="7" t="s">
        <v>33</v>
      </c>
      <c r="B36" s="7" t="n">
        <v>8</v>
      </c>
      <c r="C36" s="4" t="n">
        <f aca="false">SUMIFS(Data!$H$2:$H$151,Data!$C$2:$C$151,B36)</f>
        <v>1761000</v>
      </c>
    </row>
    <row r="37" customFormat="false" ht="15" hidden="false" customHeight="false" outlineLevel="0" collapsed="false">
      <c r="A37" s="7" t="s">
        <v>34</v>
      </c>
      <c r="B37" s="7" t="n">
        <v>9</v>
      </c>
      <c r="C37" s="4" t="n">
        <f aca="false">SUMIFS(Data!$H$2:$H$151,Data!$C$2:$C$151,B37)</f>
        <v>456000</v>
      </c>
    </row>
    <row r="38" customFormat="false" ht="15" hidden="false" customHeight="false" outlineLevel="0" collapsed="false">
      <c r="A38" s="7" t="s">
        <v>35</v>
      </c>
      <c r="B38" s="7" t="n">
        <v>10</v>
      </c>
      <c r="C38" s="4" t="n">
        <f aca="false">SUMIFS(Data!$H$2:$H$151,Data!$C$2:$C$151,B38)</f>
        <v>1285000</v>
      </c>
    </row>
    <row r="39" customFormat="false" ht="15" hidden="false" customHeight="false" outlineLevel="0" collapsed="false">
      <c r="A39" s="7" t="s">
        <v>36</v>
      </c>
      <c r="B39" s="7" t="n">
        <v>11</v>
      </c>
      <c r="C39" s="4" t="n">
        <f aca="false">SUMIFS(Data!$H$2:$H$151,Data!$C$2:$C$151,B39)</f>
        <v>1726000</v>
      </c>
    </row>
    <row r="40" customFormat="false" ht="15" hidden="false" customHeight="false" outlineLevel="0" collapsed="false">
      <c r="A40" s="7" t="s">
        <v>37</v>
      </c>
      <c r="B40" s="7" t="n">
        <v>12</v>
      </c>
      <c r="C40" s="4" t="n">
        <f aca="false">SUMIFS(Data!$H$2:$H$151,Data!$C$2:$C$151,B40)</f>
        <v>1577000</v>
      </c>
    </row>
    <row r="42" customFormat="false" ht="15" hidden="false" customHeight="false" outlineLevel="0" collapsed="false">
      <c r="A42" s="9" t="s">
        <v>38</v>
      </c>
    </row>
  </sheetData>
  <conditionalFormatting sqref="C29:C40">
    <cfRule type="colorScale" priority="2">
      <colorScale>
        <cfvo type="min" val="0"/>
        <cfvo type="max" val="0"/>
        <color rgb="FFF8CBAD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6" t="s">
        <v>39</v>
      </c>
      <c r="B1" s="6" t="s">
        <v>40</v>
      </c>
      <c r="C1" s="6" t="s">
        <v>25</v>
      </c>
      <c r="D1" s="6" t="s">
        <v>9</v>
      </c>
      <c r="E1" s="6" t="s">
        <v>17</v>
      </c>
      <c r="F1" s="6" t="s">
        <v>41</v>
      </c>
      <c r="G1" s="6" t="s">
        <v>42</v>
      </c>
      <c r="H1" s="6" t="s">
        <v>10</v>
      </c>
      <c r="J1" s="10" t="s">
        <v>43</v>
      </c>
    </row>
    <row r="2" customFormat="false" ht="15" hidden="false" customHeight="false" outlineLevel="0" collapsed="false">
      <c r="A2" s="7" t="s">
        <v>44</v>
      </c>
      <c r="B2" s="11" t="n">
        <v>45823</v>
      </c>
      <c r="C2" s="7" t="n">
        <f aca="false">MONTH(B2)</f>
        <v>6</v>
      </c>
      <c r="D2" s="7" t="s">
        <v>15</v>
      </c>
      <c r="E2" s="7" t="s">
        <v>19</v>
      </c>
      <c r="F2" s="7" t="n">
        <v>1</v>
      </c>
      <c r="G2" s="4" t="n">
        <v>18000</v>
      </c>
      <c r="H2" s="4" t="n">
        <f aca="false">F2*G2</f>
        <v>18000</v>
      </c>
    </row>
    <row r="3" customFormat="false" ht="15" hidden="false" customHeight="false" outlineLevel="0" collapsed="false">
      <c r="A3" s="7" t="s">
        <v>45</v>
      </c>
      <c r="B3" s="11" t="n">
        <v>45695</v>
      </c>
      <c r="C3" s="7" t="n">
        <f aca="false">MONTH(B3)</f>
        <v>2</v>
      </c>
      <c r="D3" s="7" t="s">
        <v>12</v>
      </c>
      <c r="E3" s="7" t="s">
        <v>22</v>
      </c>
      <c r="F3" s="7" t="n">
        <v>6</v>
      </c>
      <c r="G3" s="4" t="n">
        <v>6000</v>
      </c>
      <c r="H3" s="4" t="n">
        <f aca="false">F3*G3</f>
        <v>36000</v>
      </c>
    </row>
    <row r="4" customFormat="false" ht="15" hidden="false" customHeight="false" outlineLevel="0" collapsed="false">
      <c r="A4" s="7" t="s">
        <v>46</v>
      </c>
      <c r="B4" s="11" t="n">
        <v>45956</v>
      </c>
      <c r="C4" s="7" t="n">
        <f aca="false">MONTH(B4)</f>
        <v>10</v>
      </c>
      <c r="D4" s="7" t="s">
        <v>13</v>
      </c>
      <c r="E4" s="7" t="s">
        <v>18</v>
      </c>
      <c r="F4" s="7" t="n">
        <v>1</v>
      </c>
      <c r="G4" s="4" t="n">
        <v>55000</v>
      </c>
      <c r="H4" s="4" t="n">
        <f aca="false">F4*G4</f>
        <v>55000</v>
      </c>
    </row>
    <row r="5" customFormat="false" ht="15" hidden="false" customHeight="false" outlineLevel="0" collapsed="false">
      <c r="A5" s="7" t="s">
        <v>47</v>
      </c>
      <c r="B5" s="11" t="n">
        <v>45702</v>
      </c>
      <c r="C5" s="7" t="n">
        <f aca="false">MONTH(B5)</f>
        <v>2</v>
      </c>
      <c r="D5" s="7" t="s">
        <v>15</v>
      </c>
      <c r="E5" s="7" t="s">
        <v>21</v>
      </c>
      <c r="F5" s="7" t="n">
        <v>2</v>
      </c>
      <c r="G5" s="4" t="n">
        <v>2500</v>
      </c>
      <c r="H5" s="4" t="n">
        <f aca="false">F5*G5</f>
        <v>5000</v>
      </c>
    </row>
    <row r="6" customFormat="false" ht="15" hidden="false" customHeight="false" outlineLevel="0" collapsed="false">
      <c r="A6" s="7" t="s">
        <v>48</v>
      </c>
      <c r="B6" s="11" t="n">
        <v>45781</v>
      </c>
      <c r="C6" s="7" t="n">
        <f aca="false">MONTH(B6)</f>
        <v>5</v>
      </c>
      <c r="D6" s="7" t="s">
        <v>15</v>
      </c>
      <c r="E6" s="7" t="s">
        <v>18</v>
      </c>
      <c r="F6" s="7" t="n">
        <v>1</v>
      </c>
      <c r="G6" s="4" t="n">
        <v>55000</v>
      </c>
      <c r="H6" s="4" t="n">
        <f aca="false">F6*G6</f>
        <v>55000</v>
      </c>
    </row>
    <row r="7" customFormat="false" ht="15" hidden="false" customHeight="false" outlineLevel="0" collapsed="false">
      <c r="A7" s="7" t="s">
        <v>49</v>
      </c>
      <c r="B7" s="11" t="n">
        <v>45947</v>
      </c>
      <c r="C7" s="7" t="n">
        <f aca="false">MONTH(B7)</f>
        <v>10</v>
      </c>
      <c r="D7" s="7" t="s">
        <v>13</v>
      </c>
      <c r="E7" s="7" t="s">
        <v>18</v>
      </c>
      <c r="F7" s="7" t="n">
        <v>1</v>
      </c>
      <c r="G7" s="4" t="n">
        <v>55000</v>
      </c>
      <c r="H7" s="4" t="n">
        <f aca="false">F7*G7</f>
        <v>55000</v>
      </c>
    </row>
    <row r="8" customFormat="false" ht="15" hidden="false" customHeight="false" outlineLevel="0" collapsed="false">
      <c r="A8" s="7" t="s">
        <v>50</v>
      </c>
      <c r="B8" s="11" t="n">
        <v>45953</v>
      </c>
      <c r="C8" s="7" t="n">
        <f aca="false">MONTH(B8)</f>
        <v>10</v>
      </c>
      <c r="D8" s="7" t="s">
        <v>15</v>
      </c>
      <c r="E8" s="7" t="s">
        <v>22</v>
      </c>
      <c r="F8" s="7" t="n">
        <v>1</v>
      </c>
      <c r="G8" s="4" t="n">
        <v>6000</v>
      </c>
      <c r="H8" s="4" t="n">
        <f aca="false">F8*G8</f>
        <v>6000</v>
      </c>
    </row>
    <row r="9" customFormat="false" ht="15" hidden="false" customHeight="false" outlineLevel="0" collapsed="false">
      <c r="A9" s="7" t="s">
        <v>51</v>
      </c>
      <c r="B9" s="11" t="n">
        <v>45771</v>
      </c>
      <c r="C9" s="7" t="n">
        <f aca="false">MONTH(B9)</f>
        <v>4</v>
      </c>
      <c r="D9" s="7" t="s">
        <v>13</v>
      </c>
      <c r="E9" s="7" t="s">
        <v>18</v>
      </c>
      <c r="F9" s="7" t="n">
        <v>5</v>
      </c>
      <c r="G9" s="4" t="n">
        <v>55000</v>
      </c>
      <c r="H9" s="4" t="n">
        <f aca="false">F9*G9</f>
        <v>275000</v>
      </c>
    </row>
    <row r="10" customFormat="false" ht="15" hidden="false" customHeight="false" outlineLevel="0" collapsed="false">
      <c r="A10" s="7" t="s">
        <v>52</v>
      </c>
      <c r="B10" s="11" t="n">
        <v>45872</v>
      </c>
      <c r="C10" s="7" t="n">
        <f aca="false">MONTH(B10)</f>
        <v>8</v>
      </c>
      <c r="D10" s="7" t="s">
        <v>12</v>
      </c>
      <c r="E10" s="7" t="s">
        <v>19</v>
      </c>
      <c r="F10" s="7" t="n">
        <v>5</v>
      </c>
      <c r="G10" s="4" t="n">
        <v>18000</v>
      </c>
      <c r="H10" s="4" t="n">
        <f aca="false">F10*G10</f>
        <v>90000</v>
      </c>
    </row>
    <row r="11" customFormat="false" ht="15" hidden="false" customHeight="false" outlineLevel="0" collapsed="false">
      <c r="A11" s="7" t="s">
        <v>53</v>
      </c>
      <c r="B11" s="11" t="n">
        <v>45944</v>
      </c>
      <c r="C11" s="7" t="n">
        <f aca="false">MONTH(B11)</f>
        <v>10</v>
      </c>
      <c r="D11" s="7" t="s">
        <v>12</v>
      </c>
      <c r="E11" s="7" t="s">
        <v>19</v>
      </c>
      <c r="F11" s="7" t="n">
        <v>4</v>
      </c>
      <c r="G11" s="4" t="n">
        <v>18000</v>
      </c>
      <c r="H11" s="4" t="n">
        <f aca="false">F11*G11</f>
        <v>72000</v>
      </c>
    </row>
    <row r="12" customFormat="false" ht="15" hidden="false" customHeight="false" outlineLevel="0" collapsed="false">
      <c r="A12" s="7" t="s">
        <v>54</v>
      </c>
      <c r="B12" s="11" t="n">
        <v>45848</v>
      </c>
      <c r="C12" s="7" t="n">
        <f aca="false">MONTH(B12)</f>
        <v>7</v>
      </c>
      <c r="D12" s="7" t="s">
        <v>12</v>
      </c>
      <c r="E12" s="7" t="s">
        <v>18</v>
      </c>
      <c r="F12" s="7" t="n">
        <v>1</v>
      </c>
      <c r="G12" s="4" t="n">
        <v>55000</v>
      </c>
      <c r="H12" s="4" t="n">
        <f aca="false">F12*G12</f>
        <v>55000</v>
      </c>
    </row>
    <row r="13" customFormat="false" ht="15" hidden="false" customHeight="false" outlineLevel="0" collapsed="false">
      <c r="A13" s="7" t="s">
        <v>55</v>
      </c>
      <c r="B13" s="11" t="n">
        <v>45974</v>
      </c>
      <c r="C13" s="7" t="n">
        <f aca="false">MONTH(B13)</f>
        <v>11</v>
      </c>
      <c r="D13" s="7" t="s">
        <v>15</v>
      </c>
      <c r="E13" s="7" t="s">
        <v>19</v>
      </c>
      <c r="F13" s="7" t="n">
        <v>7</v>
      </c>
      <c r="G13" s="4" t="n">
        <v>18000</v>
      </c>
      <c r="H13" s="4" t="n">
        <f aca="false">F13*G13</f>
        <v>126000</v>
      </c>
    </row>
    <row r="14" customFormat="false" ht="15" hidden="false" customHeight="false" outlineLevel="0" collapsed="false">
      <c r="A14" s="7" t="s">
        <v>56</v>
      </c>
      <c r="B14" s="11" t="n">
        <v>45818</v>
      </c>
      <c r="C14" s="7" t="n">
        <f aca="false">MONTH(B14)</f>
        <v>6</v>
      </c>
      <c r="D14" s="7" t="s">
        <v>15</v>
      </c>
      <c r="E14" s="7" t="s">
        <v>21</v>
      </c>
      <c r="F14" s="7" t="n">
        <v>6</v>
      </c>
      <c r="G14" s="4" t="n">
        <v>2500</v>
      </c>
      <c r="H14" s="4" t="n">
        <f aca="false">F14*G14</f>
        <v>15000</v>
      </c>
    </row>
    <row r="15" customFormat="false" ht="15" hidden="false" customHeight="false" outlineLevel="0" collapsed="false">
      <c r="A15" s="7" t="s">
        <v>57</v>
      </c>
      <c r="B15" s="11" t="n">
        <v>45811</v>
      </c>
      <c r="C15" s="7" t="n">
        <f aca="false">MONTH(B15)</f>
        <v>6</v>
      </c>
      <c r="D15" s="7" t="s">
        <v>13</v>
      </c>
      <c r="E15" s="7" t="s">
        <v>19</v>
      </c>
      <c r="F15" s="7" t="n">
        <v>4</v>
      </c>
      <c r="G15" s="4" t="n">
        <v>18000</v>
      </c>
      <c r="H15" s="4" t="n">
        <f aca="false">F15*G15</f>
        <v>72000</v>
      </c>
    </row>
    <row r="16" customFormat="false" ht="15" hidden="false" customHeight="false" outlineLevel="0" collapsed="false">
      <c r="A16" s="7" t="s">
        <v>58</v>
      </c>
      <c r="B16" s="11" t="n">
        <v>45699</v>
      </c>
      <c r="C16" s="7" t="n">
        <f aca="false">MONTH(B16)</f>
        <v>2</v>
      </c>
      <c r="D16" s="7" t="s">
        <v>14</v>
      </c>
      <c r="E16" s="7" t="s">
        <v>22</v>
      </c>
      <c r="F16" s="7" t="n">
        <v>8</v>
      </c>
      <c r="G16" s="4" t="n">
        <v>6000</v>
      </c>
      <c r="H16" s="4" t="n">
        <f aca="false">F16*G16</f>
        <v>48000</v>
      </c>
    </row>
    <row r="17" customFormat="false" ht="15" hidden="false" customHeight="false" outlineLevel="0" collapsed="false">
      <c r="A17" s="7" t="s">
        <v>59</v>
      </c>
      <c r="B17" s="11" t="n">
        <v>45833</v>
      </c>
      <c r="C17" s="7" t="n">
        <f aca="false">MONTH(B17)</f>
        <v>6</v>
      </c>
      <c r="D17" s="7" t="s">
        <v>14</v>
      </c>
      <c r="E17" s="7" t="s">
        <v>21</v>
      </c>
      <c r="F17" s="7" t="n">
        <v>2</v>
      </c>
      <c r="G17" s="4" t="n">
        <v>2500</v>
      </c>
      <c r="H17" s="4" t="n">
        <f aca="false">F17*G17</f>
        <v>5000</v>
      </c>
    </row>
    <row r="18" customFormat="false" ht="15" hidden="false" customHeight="false" outlineLevel="0" collapsed="false">
      <c r="A18" s="7" t="s">
        <v>60</v>
      </c>
      <c r="B18" s="11" t="n">
        <v>45718</v>
      </c>
      <c r="C18" s="7" t="n">
        <f aca="false">MONTH(B18)</f>
        <v>3</v>
      </c>
      <c r="D18" s="7" t="s">
        <v>15</v>
      </c>
      <c r="E18" s="7" t="s">
        <v>22</v>
      </c>
      <c r="F18" s="7" t="n">
        <v>3</v>
      </c>
      <c r="G18" s="4" t="n">
        <v>6000</v>
      </c>
      <c r="H18" s="4" t="n">
        <f aca="false">F18*G18</f>
        <v>18000</v>
      </c>
    </row>
    <row r="19" customFormat="false" ht="15" hidden="false" customHeight="false" outlineLevel="0" collapsed="false">
      <c r="A19" s="7" t="s">
        <v>61</v>
      </c>
      <c r="B19" s="11" t="n">
        <v>45833</v>
      </c>
      <c r="C19" s="7" t="n">
        <f aca="false">MONTH(B19)</f>
        <v>6</v>
      </c>
      <c r="D19" s="7" t="s">
        <v>15</v>
      </c>
      <c r="E19" s="7" t="s">
        <v>19</v>
      </c>
      <c r="F19" s="7" t="n">
        <v>7</v>
      </c>
      <c r="G19" s="4" t="n">
        <v>18000</v>
      </c>
      <c r="H19" s="4" t="n">
        <f aca="false">F19*G19</f>
        <v>126000</v>
      </c>
    </row>
    <row r="20" customFormat="false" ht="15" hidden="false" customHeight="false" outlineLevel="0" collapsed="false">
      <c r="A20" s="7" t="s">
        <v>62</v>
      </c>
      <c r="B20" s="11" t="n">
        <v>45678</v>
      </c>
      <c r="C20" s="7" t="n">
        <f aca="false">MONTH(B20)</f>
        <v>1</v>
      </c>
      <c r="D20" s="7" t="s">
        <v>14</v>
      </c>
      <c r="E20" s="7" t="s">
        <v>18</v>
      </c>
      <c r="F20" s="7" t="n">
        <v>6</v>
      </c>
      <c r="G20" s="4" t="n">
        <v>55000</v>
      </c>
      <c r="H20" s="4" t="n">
        <f aca="false">F20*G20</f>
        <v>330000</v>
      </c>
    </row>
    <row r="21" customFormat="false" ht="15" hidden="false" customHeight="false" outlineLevel="0" collapsed="false">
      <c r="A21" s="7" t="s">
        <v>63</v>
      </c>
      <c r="B21" s="11" t="n">
        <v>46013</v>
      </c>
      <c r="C21" s="7" t="n">
        <f aca="false">MONTH(B21)</f>
        <v>12</v>
      </c>
      <c r="D21" s="7" t="s">
        <v>15</v>
      </c>
      <c r="E21" s="7" t="s">
        <v>20</v>
      </c>
      <c r="F21" s="7" t="n">
        <v>8</v>
      </c>
      <c r="G21" s="4" t="n">
        <v>22000</v>
      </c>
      <c r="H21" s="4" t="n">
        <f aca="false">F21*G21</f>
        <v>176000</v>
      </c>
    </row>
    <row r="22" customFormat="false" ht="15" hidden="false" customHeight="false" outlineLevel="0" collapsed="false">
      <c r="A22" s="7" t="s">
        <v>64</v>
      </c>
      <c r="B22" s="11" t="n">
        <v>45693</v>
      </c>
      <c r="C22" s="7" t="n">
        <f aca="false">MONTH(B22)</f>
        <v>2</v>
      </c>
      <c r="D22" s="7" t="s">
        <v>14</v>
      </c>
      <c r="E22" s="7" t="s">
        <v>18</v>
      </c>
      <c r="F22" s="7" t="n">
        <v>8</v>
      </c>
      <c r="G22" s="4" t="n">
        <v>55000</v>
      </c>
      <c r="H22" s="4" t="n">
        <f aca="false">F22*G22</f>
        <v>440000</v>
      </c>
    </row>
    <row r="23" customFormat="false" ht="15" hidden="false" customHeight="false" outlineLevel="0" collapsed="false">
      <c r="A23" s="7" t="s">
        <v>65</v>
      </c>
      <c r="B23" s="11" t="n">
        <v>46014</v>
      </c>
      <c r="C23" s="7" t="n">
        <f aca="false">MONTH(B23)</f>
        <v>12</v>
      </c>
      <c r="D23" s="7" t="s">
        <v>12</v>
      </c>
      <c r="E23" s="7" t="s">
        <v>18</v>
      </c>
      <c r="F23" s="7" t="n">
        <v>5</v>
      </c>
      <c r="G23" s="4" t="n">
        <v>55000</v>
      </c>
      <c r="H23" s="4" t="n">
        <f aca="false">F23*G23</f>
        <v>275000</v>
      </c>
    </row>
    <row r="24" customFormat="false" ht="15" hidden="false" customHeight="false" outlineLevel="0" collapsed="false">
      <c r="A24" s="7" t="s">
        <v>66</v>
      </c>
      <c r="B24" s="11" t="n">
        <v>45989</v>
      </c>
      <c r="C24" s="7" t="n">
        <f aca="false">MONTH(B24)</f>
        <v>11</v>
      </c>
      <c r="D24" s="7" t="s">
        <v>15</v>
      </c>
      <c r="E24" s="7" t="s">
        <v>22</v>
      </c>
      <c r="F24" s="7" t="n">
        <v>5</v>
      </c>
      <c r="G24" s="4" t="n">
        <v>6000</v>
      </c>
      <c r="H24" s="4" t="n">
        <f aca="false">F24*G24</f>
        <v>30000</v>
      </c>
    </row>
    <row r="25" customFormat="false" ht="15" hidden="false" customHeight="false" outlineLevel="0" collapsed="false">
      <c r="A25" s="7" t="s">
        <v>67</v>
      </c>
      <c r="B25" s="11" t="n">
        <v>45855</v>
      </c>
      <c r="C25" s="7" t="n">
        <f aca="false">MONTH(B25)</f>
        <v>7</v>
      </c>
      <c r="D25" s="7" t="s">
        <v>12</v>
      </c>
      <c r="E25" s="7" t="s">
        <v>20</v>
      </c>
      <c r="F25" s="7" t="n">
        <v>8</v>
      </c>
      <c r="G25" s="4" t="n">
        <v>22000</v>
      </c>
      <c r="H25" s="4" t="n">
        <f aca="false">F25*G25</f>
        <v>176000</v>
      </c>
    </row>
    <row r="26" customFormat="false" ht="15" hidden="false" customHeight="false" outlineLevel="0" collapsed="false">
      <c r="A26" s="7" t="s">
        <v>68</v>
      </c>
      <c r="B26" s="11" t="n">
        <v>45839</v>
      </c>
      <c r="C26" s="7" t="n">
        <f aca="false">MONTH(B26)</f>
        <v>7</v>
      </c>
      <c r="D26" s="7" t="s">
        <v>12</v>
      </c>
      <c r="E26" s="7" t="s">
        <v>19</v>
      </c>
      <c r="F26" s="7" t="n">
        <v>8</v>
      </c>
      <c r="G26" s="4" t="n">
        <v>18000</v>
      </c>
      <c r="H26" s="4" t="n">
        <f aca="false">F26*G26</f>
        <v>144000</v>
      </c>
    </row>
    <row r="27" customFormat="false" ht="15" hidden="false" customHeight="false" outlineLevel="0" collapsed="false">
      <c r="A27" s="7" t="s">
        <v>69</v>
      </c>
      <c r="B27" s="11" t="n">
        <v>45688</v>
      </c>
      <c r="C27" s="7" t="n">
        <f aca="false">MONTH(B27)</f>
        <v>1</v>
      </c>
      <c r="D27" s="7" t="s">
        <v>14</v>
      </c>
      <c r="E27" s="7" t="s">
        <v>19</v>
      </c>
      <c r="F27" s="7" t="n">
        <v>3</v>
      </c>
      <c r="G27" s="4" t="n">
        <v>18000</v>
      </c>
      <c r="H27" s="4" t="n">
        <f aca="false">F27*G27</f>
        <v>54000</v>
      </c>
    </row>
    <row r="28" customFormat="false" ht="15" hidden="false" customHeight="false" outlineLevel="0" collapsed="false">
      <c r="A28" s="7" t="s">
        <v>70</v>
      </c>
      <c r="B28" s="11" t="n">
        <v>45784</v>
      </c>
      <c r="C28" s="7" t="n">
        <f aca="false">MONTH(B28)</f>
        <v>5</v>
      </c>
      <c r="D28" s="7" t="s">
        <v>15</v>
      </c>
      <c r="E28" s="7" t="s">
        <v>21</v>
      </c>
      <c r="F28" s="7" t="n">
        <v>8</v>
      </c>
      <c r="G28" s="4" t="n">
        <v>2500</v>
      </c>
      <c r="H28" s="4" t="n">
        <f aca="false">F28*G28</f>
        <v>20000</v>
      </c>
    </row>
    <row r="29" customFormat="false" ht="15" hidden="false" customHeight="false" outlineLevel="0" collapsed="false">
      <c r="A29" s="7" t="s">
        <v>71</v>
      </c>
      <c r="B29" s="11" t="n">
        <v>45699</v>
      </c>
      <c r="C29" s="7" t="n">
        <f aca="false">MONTH(B29)</f>
        <v>2</v>
      </c>
      <c r="D29" s="7" t="s">
        <v>15</v>
      </c>
      <c r="E29" s="7" t="s">
        <v>19</v>
      </c>
      <c r="F29" s="7" t="n">
        <v>7</v>
      </c>
      <c r="G29" s="4" t="n">
        <v>18000</v>
      </c>
      <c r="H29" s="4" t="n">
        <f aca="false">F29*G29</f>
        <v>126000</v>
      </c>
    </row>
    <row r="30" customFormat="false" ht="15" hidden="false" customHeight="false" outlineLevel="0" collapsed="false">
      <c r="A30" s="7" t="s">
        <v>72</v>
      </c>
      <c r="B30" s="11" t="n">
        <v>45939</v>
      </c>
      <c r="C30" s="7" t="n">
        <f aca="false">MONTH(B30)</f>
        <v>10</v>
      </c>
      <c r="D30" s="7" t="s">
        <v>13</v>
      </c>
      <c r="E30" s="7" t="s">
        <v>20</v>
      </c>
      <c r="F30" s="7" t="n">
        <v>7</v>
      </c>
      <c r="G30" s="4" t="n">
        <v>22000</v>
      </c>
      <c r="H30" s="4" t="n">
        <f aca="false">F30*G30</f>
        <v>154000</v>
      </c>
    </row>
    <row r="31" customFormat="false" ht="15" hidden="false" customHeight="false" outlineLevel="0" collapsed="false">
      <c r="A31" s="7" t="s">
        <v>73</v>
      </c>
      <c r="B31" s="11" t="n">
        <v>45939</v>
      </c>
      <c r="C31" s="7" t="n">
        <f aca="false">MONTH(B31)</f>
        <v>10</v>
      </c>
      <c r="D31" s="7" t="s">
        <v>15</v>
      </c>
      <c r="E31" s="7" t="s">
        <v>20</v>
      </c>
      <c r="F31" s="7" t="n">
        <v>6</v>
      </c>
      <c r="G31" s="4" t="n">
        <v>22000</v>
      </c>
      <c r="H31" s="4" t="n">
        <f aca="false">F31*G31</f>
        <v>132000</v>
      </c>
    </row>
    <row r="32" customFormat="false" ht="15" hidden="false" customHeight="false" outlineLevel="0" collapsed="false">
      <c r="A32" s="7" t="s">
        <v>74</v>
      </c>
      <c r="B32" s="11" t="n">
        <v>46007</v>
      </c>
      <c r="C32" s="7" t="n">
        <f aca="false">MONTH(B32)</f>
        <v>12</v>
      </c>
      <c r="D32" s="7" t="s">
        <v>13</v>
      </c>
      <c r="E32" s="7" t="s">
        <v>21</v>
      </c>
      <c r="F32" s="7" t="n">
        <v>3</v>
      </c>
      <c r="G32" s="4" t="n">
        <v>2500</v>
      </c>
      <c r="H32" s="4" t="n">
        <f aca="false">F32*G32</f>
        <v>7500</v>
      </c>
    </row>
    <row r="33" customFormat="false" ht="15" hidden="false" customHeight="false" outlineLevel="0" collapsed="false">
      <c r="A33" s="7" t="s">
        <v>75</v>
      </c>
      <c r="B33" s="11" t="n">
        <v>45700</v>
      </c>
      <c r="C33" s="7" t="n">
        <f aca="false">MONTH(B33)</f>
        <v>2</v>
      </c>
      <c r="D33" s="7" t="s">
        <v>13</v>
      </c>
      <c r="E33" s="7" t="s">
        <v>19</v>
      </c>
      <c r="F33" s="7" t="n">
        <v>4</v>
      </c>
      <c r="G33" s="4" t="n">
        <v>18000</v>
      </c>
      <c r="H33" s="4" t="n">
        <f aca="false">F33*G33</f>
        <v>72000</v>
      </c>
    </row>
    <row r="34" customFormat="false" ht="15" hidden="false" customHeight="false" outlineLevel="0" collapsed="false">
      <c r="A34" s="7" t="s">
        <v>76</v>
      </c>
      <c r="B34" s="11" t="n">
        <v>45995</v>
      </c>
      <c r="C34" s="7" t="n">
        <f aca="false">MONTH(B34)</f>
        <v>12</v>
      </c>
      <c r="D34" s="7" t="s">
        <v>12</v>
      </c>
      <c r="E34" s="7" t="s">
        <v>19</v>
      </c>
      <c r="F34" s="7" t="n">
        <v>8</v>
      </c>
      <c r="G34" s="4" t="n">
        <v>18000</v>
      </c>
      <c r="H34" s="4" t="n">
        <f aca="false">F34*G34</f>
        <v>144000</v>
      </c>
    </row>
    <row r="35" customFormat="false" ht="15" hidden="false" customHeight="false" outlineLevel="0" collapsed="false">
      <c r="A35" s="7" t="s">
        <v>77</v>
      </c>
      <c r="B35" s="11" t="n">
        <v>45959</v>
      </c>
      <c r="C35" s="7" t="n">
        <f aca="false">MONTH(B35)</f>
        <v>10</v>
      </c>
      <c r="D35" s="7" t="s">
        <v>14</v>
      </c>
      <c r="E35" s="7" t="s">
        <v>19</v>
      </c>
      <c r="F35" s="7" t="n">
        <v>5</v>
      </c>
      <c r="G35" s="4" t="n">
        <v>18000</v>
      </c>
      <c r="H35" s="4" t="n">
        <f aca="false">F35*G35</f>
        <v>90000</v>
      </c>
    </row>
    <row r="36" customFormat="false" ht="15" hidden="false" customHeight="false" outlineLevel="0" collapsed="false">
      <c r="A36" s="7" t="s">
        <v>78</v>
      </c>
      <c r="B36" s="11" t="n">
        <v>45660</v>
      </c>
      <c r="C36" s="7" t="n">
        <f aca="false">MONTH(B36)</f>
        <v>1</v>
      </c>
      <c r="D36" s="7" t="s">
        <v>15</v>
      </c>
      <c r="E36" s="7" t="s">
        <v>19</v>
      </c>
      <c r="F36" s="7" t="n">
        <v>6</v>
      </c>
      <c r="G36" s="4" t="n">
        <v>18000</v>
      </c>
      <c r="H36" s="4" t="n">
        <f aca="false">F36*G36</f>
        <v>108000</v>
      </c>
    </row>
    <row r="37" customFormat="false" ht="15" hidden="false" customHeight="false" outlineLevel="0" collapsed="false">
      <c r="A37" s="7" t="s">
        <v>79</v>
      </c>
      <c r="B37" s="11" t="n">
        <v>45970</v>
      </c>
      <c r="C37" s="7" t="n">
        <f aca="false">MONTH(B37)</f>
        <v>11</v>
      </c>
      <c r="D37" s="7" t="s">
        <v>14</v>
      </c>
      <c r="E37" s="7" t="s">
        <v>22</v>
      </c>
      <c r="F37" s="7" t="n">
        <v>3</v>
      </c>
      <c r="G37" s="4" t="n">
        <v>6000</v>
      </c>
      <c r="H37" s="4" t="n">
        <f aca="false">F37*G37</f>
        <v>18000</v>
      </c>
    </row>
    <row r="38" customFormat="false" ht="15" hidden="false" customHeight="false" outlineLevel="0" collapsed="false">
      <c r="A38" s="7" t="s">
        <v>80</v>
      </c>
      <c r="B38" s="11" t="n">
        <v>46011</v>
      </c>
      <c r="C38" s="7" t="n">
        <f aca="false">MONTH(B38)</f>
        <v>12</v>
      </c>
      <c r="D38" s="7" t="s">
        <v>12</v>
      </c>
      <c r="E38" s="7" t="s">
        <v>22</v>
      </c>
      <c r="F38" s="7" t="n">
        <v>8</v>
      </c>
      <c r="G38" s="4" t="n">
        <v>6000</v>
      </c>
      <c r="H38" s="4" t="n">
        <f aca="false">F38*G38</f>
        <v>48000</v>
      </c>
    </row>
    <row r="39" customFormat="false" ht="15" hidden="false" customHeight="false" outlineLevel="0" collapsed="false">
      <c r="A39" s="7" t="s">
        <v>81</v>
      </c>
      <c r="B39" s="11" t="n">
        <v>46006</v>
      </c>
      <c r="C39" s="7" t="n">
        <f aca="false">MONTH(B39)</f>
        <v>12</v>
      </c>
      <c r="D39" s="7" t="s">
        <v>15</v>
      </c>
      <c r="E39" s="7" t="s">
        <v>22</v>
      </c>
      <c r="F39" s="7" t="n">
        <v>7</v>
      </c>
      <c r="G39" s="4" t="n">
        <v>6000</v>
      </c>
      <c r="H39" s="4" t="n">
        <f aca="false">F39*G39</f>
        <v>42000</v>
      </c>
    </row>
    <row r="40" customFormat="false" ht="15" hidden="false" customHeight="false" outlineLevel="0" collapsed="false">
      <c r="A40" s="7" t="s">
        <v>82</v>
      </c>
      <c r="B40" s="11" t="n">
        <v>45862</v>
      </c>
      <c r="C40" s="7" t="n">
        <f aca="false">MONTH(B40)</f>
        <v>7</v>
      </c>
      <c r="D40" s="7" t="s">
        <v>12</v>
      </c>
      <c r="E40" s="7" t="s">
        <v>21</v>
      </c>
      <c r="F40" s="7" t="n">
        <v>8</v>
      </c>
      <c r="G40" s="4" t="n">
        <v>2500</v>
      </c>
      <c r="H40" s="4" t="n">
        <f aca="false">F40*G40</f>
        <v>20000</v>
      </c>
    </row>
    <row r="41" customFormat="false" ht="15" hidden="false" customHeight="false" outlineLevel="0" collapsed="false">
      <c r="A41" s="7" t="s">
        <v>83</v>
      </c>
      <c r="B41" s="11" t="n">
        <v>45982</v>
      </c>
      <c r="C41" s="7" t="n">
        <f aca="false">MONTH(B41)</f>
        <v>11</v>
      </c>
      <c r="D41" s="7" t="s">
        <v>12</v>
      </c>
      <c r="E41" s="7" t="s">
        <v>21</v>
      </c>
      <c r="F41" s="7" t="n">
        <v>4</v>
      </c>
      <c r="G41" s="4" t="n">
        <v>2500</v>
      </c>
      <c r="H41" s="4" t="n">
        <f aca="false">F41*G41</f>
        <v>10000</v>
      </c>
    </row>
    <row r="42" customFormat="false" ht="15" hidden="false" customHeight="false" outlineLevel="0" collapsed="false">
      <c r="A42" s="7" t="s">
        <v>84</v>
      </c>
      <c r="B42" s="11" t="n">
        <v>45692</v>
      </c>
      <c r="C42" s="7" t="n">
        <f aca="false">MONTH(B42)</f>
        <v>2</v>
      </c>
      <c r="D42" s="7" t="s">
        <v>15</v>
      </c>
      <c r="E42" s="7" t="s">
        <v>19</v>
      </c>
      <c r="F42" s="7" t="n">
        <v>3</v>
      </c>
      <c r="G42" s="4" t="n">
        <v>18000</v>
      </c>
      <c r="H42" s="4" t="n">
        <f aca="false">F42*G42</f>
        <v>54000</v>
      </c>
    </row>
    <row r="43" customFormat="false" ht="15" hidden="false" customHeight="false" outlineLevel="0" collapsed="false">
      <c r="A43" s="7" t="s">
        <v>85</v>
      </c>
      <c r="B43" s="11" t="n">
        <v>45714</v>
      </c>
      <c r="C43" s="7" t="n">
        <f aca="false">MONTH(B43)</f>
        <v>2</v>
      </c>
      <c r="D43" s="7" t="s">
        <v>12</v>
      </c>
      <c r="E43" s="7" t="s">
        <v>20</v>
      </c>
      <c r="F43" s="7" t="n">
        <v>2</v>
      </c>
      <c r="G43" s="4" t="n">
        <v>22000</v>
      </c>
      <c r="H43" s="4" t="n">
        <f aca="false">F43*G43</f>
        <v>44000</v>
      </c>
    </row>
    <row r="44" customFormat="false" ht="15" hidden="false" customHeight="false" outlineLevel="0" collapsed="false">
      <c r="A44" s="7" t="s">
        <v>86</v>
      </c>
      <c r="B44" s="11" t="n">
        <v>45658</v>
      </c>
      <c r="C44" s="7" t="n">
        <f aca="false">MONTH(B44)</f>
        <v>1</v>
      </c>
      <c r="D44" s="7" t="s">
        <v>13</v>
      </c>
      <c r="E44" s="7" t="s">
        <v>22</v>
      </c>
      <c r="F44" s="7" t="n">
        <v>2</v>
      </c>
      <c r="G44" s="4" t="n">
        <v>6000</v>
      </c>
      <c r="H44" s="4" t="n">
        <f aca="false">F44*G44</f>
        <v>12000</v>
      </c>
    </row>
    <row r="45" customFormat="false" ht="15" hidden="false" customHeight="false" outlineLevel="0" collapsed="false">
      <c r="A45" s="7" t="s">
        <v>87</v>
      </c>
      <c r="B45" s="11" t="n">
        <v>45844</v>
      </c>
      <c r="C45" s="7" t="n">
        <f aca="false">MONTH(B45)</f>
        <v>7</v>
      </c>
      <c r="D45" s="7" t="s">
        <v>12</v>
      </c>
      <c r="E45" s="7" t="s">
        <v>22</v>
      </c>
      <c r="F45" s="7" t="n">
        <v>2</v>
      </c>
      <c r="G45" s="4" t="n">
        <v>6000</v>
      </c>
      <c r="H45" s="4" t="n">
        <f aca="false">F45*G45</f>
        <v>12000</v>
      </c>
    </row>
    <row r="46" customFormat="false" ht="15" hidden="false" customHeight="false" outlineLevel="0" collapsed="false">
      <c r="A46" s="7" t="s">
        <v>88</v>
      </c>
      <c r="B46" s="11" t="n">
        <v>45764</v>
      </c>
      <c r="C46" s="7" t="n">
        <f aca="false">MONTH(B46)</f>
        <v>4</v>
      </c>
      <c r="D46" s="7" t="s">
        <v>15</v>
      </c>
      <c r="E46" s="7" t="s">
        <v>22</v>
      </c>
      <c r="F46" s="7" t="n">
        <v>3</v>
      </c>
      <c r="G46" s="4" t="n">
        <v>6000</v>
      </c>
      <c r="H46" s="4" t="n">
        <f aca="false">F46*G46</f>
        <v>18000</v>
      </c>
    </row>
    <row r="47" customFormat="false" ht="15" hidden="false" customHeight="false" outlineLevel="0" collapsed="false">
      <c r="A47" s="7" t="s">
        <v>89</v>
      </c>
      <c r="B47" s="11" t="n">
        <v>45982</v>
      </c>
      <c r="C47" s="7" t="n">
        <f aca="false">MONTH(B47)</f>
        <v>11</v>
      </c>
      <c r="D47" s="7" t="s">
        <v>14</v>
      </c>
      <c r="E47" s="7" t="s">
        <v>20</v>
      </c>
      <c r="F47" s="7" t="n">
        <v>6</v>
      </c>
      <c r="G47" s="4" t="n">
        <v>22000</v>
      </c>
      <c r="H47" s="4" t="n">
        <f aca="false">F47*G47</f>
        <v>132000</v>
      </c>
    </row>
    <row r="48" customFormat="false" ht="15" hidden="false" customHeight="false" outlineLevel="0" collapsed="false">
      <c r="A48" s="7" t="s">
        <v>90</v>
      </c>
      <c r="B48" s="11" t="n">
        <v>45900</v>
      </c>
      <c r="C48" s="7" t="n">
        <f aca="false">MONTH(B48)</f>
        <v>8</v>
      </c>
      <c r="D48" s="7" t="s">
        <v>12</v>
      </c>
      <c r="E48" s="7" t="s">
        <v>18</v>
      </c>
      <c r="F48" s="7" t="n">
        <v>8</v>
      </c>
      <c r="G48" s="4" t="n">
        <v>55000</v>
      </c>
      <c r="H48" s="4" t="n">
        <f aca="false">F48*G48</f>
        <v>440000</v>
      </c>
    </row>
    <row r="49" customFormat="false" ht="15" hidden="false" customHeight="false" outlineLevel="0" collapsed="false">
      <c r="A49" s="7" t="s">
        <v>91</v>
      </c>
      <c r="B49" s="11" t="n">
        <v>45896</v>
      </c>
      <c r="C49" s="7" t="n">
        <f aca="false">MONTH(B49)</f>
        <v>8</v>
      </c>
      <c r="D49" s="7" t="s">
        <v>15</v>
      </c>
      <c r="E49" s="7" t="s">
        <v>21</v>
      </c>
      <c r="F49" s="7" t="n">
        <v>5</v>
      </c>
      <c r="G49" s="4" t="n">
        <v>2500</v>
      </c>
      <c r="H49" s="4" t="n">
        <f aca="false">F49*G49</f>
        <v>12500</v>
      </c>
    </row>
    <row r="50" customFormat="false" ht="15" hidden="false" customHeight="false" outlineLevel="0" collapsed="false">
      <c r="A50" s="7" t="s">
        <v>92</v>
      </c>
      <c r="B50" s="11" t="n">
        <v>45701</v>
      </c>
      <c r="C50" s="7" t="n">
        <f aca="false">MONTH(B50)</f>
        <v>2</v>
      </c>
      <c r="D50" s="7" t="s">
        <v>12</v>
      </c>
      <c r="E50" s="7" t="s">
        <v>19</v>
      </c>
      <c r="F50" s="7" t="n">
        <v>6</v>
      </c>
      <c r="G50" s="4" t="n">
        <v>18000</v>
      </c>
      <c r="H50" s="4" t="n">
        <f aca="false">F50*G50</f>
        <v>108000</v>
      </c>
    </row>
    <row r="51" customFormat="false" ht="15" hidden="false" customHeight="false" outlineLevel="0" collapsed="false">
      <c r="A51" s="7" t="s">
        <v>93</v>
      </c>
      <c r="B51" s="11" t="n">
        <v>45793</v>
      </c>
      <c r="C51" s="7" t="n">
        <f aca="false">MONTH(B51)</f>
        <v>5</v>
      </c>
      <c r="D51" s="7" t="s">
        <v>13</v>
      </c>
      <c r="E51" s="7" t="s">
        <v>21</v>
      </c>
      <c r="F51" s="7" t="n">
        <v>1</v>
      </c>
      <c r="G51" s="4" t="n">
        <v>2500</v>
      </c>
      <c r="H51" s="4" t="n">
        <f aca="false">F51*G51</f>
        <v>2500</v>
      </c>
    </row>
    <row r="52" customFormat="false" ht="15" hidden="false" customHeight="false" outlineLevel="0" collapsed="false">
      <c r="A52" s="7" t="s">
        <v>94</v>
      </c>
      <c r="B52" s="11" t="n">
        <v>45763</v>
      </c>
      <c r="C52" s="7" t="n">
        <f aca="false">MONTH(B52)</f>
        <v>4</v>
      </c>
      <c r="D52" s="7" t="s">
        <v>14</v>
      </c>
      <c r="E52" s="7" t="s">
        <v>22</v>
      </c>
      <c r="F52" s="7" t="n">
        <v>3</v>
      </c>
      <c r="G52" s="4" t="n">
        <v>6000</v>
      </c>
      <c r="H52" s="4" t="n">
        <f aca="false">F52*G52</f>
        <v>18000</v>
      </c>
    </row>
    <row r="53" customFormat="false" ht="15" hidden="false" customHeight="false" outlineLevel="0" collapsed="false">
      <c r="A53" s="7" t="s">
        <v>95</v>
      </c>
      <c r="B53" s="11" t="n">
        <v>46011</v>
      </c>
      <c r="C53" s="7" t="n">
        <f aca="false">MONTH(B53)</f>
        <v>12</v>
      </c>
      <c r="D53" s="7" t="s">
        <v>12</v>
      </c>
      <c r="E53" s="7" t="s">
        <v>22</v>
      </c>
      <c r="F53" s="7" t="n">
        <v>5</v>
      </c>
      <c r="G53" s="4" t="n">
        <v>6000</v>
      </c>
      <c r="H53" s="4" t="n">
        <f aca="false">F53*G53</f>
        <v>30000</v>
      </c>
    </row>
    <row r="54" customFormat="false" ht="15" hidden="false" customHeight="false" outlineLevel="0" collapsed="false">
      <c r="A54" s="7" t="s">
        <v>96</v>
      </c>
      <c r="B54" s="11" t="n">
        <v>45987</v>
      </c>
      <c r="C54" s="7" t="n">
        <f aca="false">MONTH(B54)</f>
        <v>11</v>
      </c>
      <c r="D54" s="7" t="s">
        <v>14</v>
      </c>
      <c r="E54" s="7" t="s">
        <v>18</v>
      </c>
      <c r="F54" s="7" t="n">
        <v>6</v>
      </c>
      <c r="G54" s="4" t="n">
        <v>55000</v>
      </c>
      <c r="H54" s="4" t="n">
        <f aca="false">F54*G54</f>
        <v>330000</v>
      </c>
    </row>
    <row r="55" customFormat="false" ht="15" hidden="false" customHeight="false" outlineLevel="0" collapsed="false">
      <c r="A55" s="7" t="s">
        <v>97</v>
      </c>
      <c r="B55" s="11" t="n">
        <v>45743</v>
      </c>
      <c r="C55" s="7" t="n">
        <f aca="false">MONTH(B55)</f>
        <v>3</v>
      </c>
      <c r="D55" s="7" t="s">
        <v>13</v>
      </c>
      <c r="E55" s="7" t="s">
        <v>20</v>
      </c>
      <c r="F55" s="7" t="n">
        <v>6</v>
      </c>
      <c r="G55" s="4" t="n">
        <v>22000</v>
      </c>
      <c r="H55" s="4" t="n">
        <f aca="false">F55*G55</f>
        <v>132000</v>
      </c>
    </row>
    <row r="56" customFormat="false" ht="15" hidden="false" customHeight="false" outlineLevel="0" collapsed="false">
      <c r="A56" s="7" t="s">
        <v>98</v>
      </c>
      <c r="B56" s="11" t="n">
        <v>45983</v>
      </c>
      <c r="C56" s="7" t="n">
        <f aca="false">MONTH(B56)</f>
        <v>11</v>
      </c>
      <c r="D56" s="7" t="s">
        <v>13</v>
      </c>
      <c r="E56" s="7" t="s">
        <v>19</v>
      </c>
      <c r="F56" s="7" t="n">
        <v>4</v>
      </c>
      <c r="G56" s="4" t="n">
        <v>18000</v>
      </c>
      <c r="H56" s="4" t="n">
        <f aca="false">F56*G56</f>
        <v>72000</v>
      </c>
    </row>
    <row r="57" customFormat="false" ht="15" hidden="false" customHeight="false" outlineLevel="0" collapsed="false">
      <c r="A57" s="7" t="s">
        <v>99</v>
      </c>
      <c r="B57" s="11" t="n">
        <v>45863</v>
      </c>
      <c r="C57" s="7" t="n">
        <f aca="false">MONTH(B57)</f>
        <v>7</v>
      </c>
      <c r="D57" s="7" t="s">
        <v>13</v>
      </c>
      <c r="E57" s="7" t="s">
        <v>19</v>
      </c>
      <c r="F57" s="7" t="n">
        <v>8</v>
      </c>
      <c r="G57" s="4" t="n">
        <v>18000</v>
      </c>
      <c r="H57" s="4" t="n">
        <f aca="false">F57*G57</f>
        <v>144000</v>
      </c>
    </row>
    <row r="58" customFormat="false" ht="15" hidden="false" customHeight="false" outlineLevel="0" collapsed="false">
      <c r="A58" s="7" t="s">
        <v>100</v>
      </c>
      <c r="B58" s="11" t="n">
        <v>45840</v>
      </c>
      <c r="C58" s="7" t="n">
        <f aca="false">MONTH(B58)</f>
        <v>7</v>
      </c>
      <c r="D58" s="7" t="s">
        <v>12</v>
      </c>
      <c r="E58" s="7" t="s">
        <v>18</v>
      </c>
      <c r="F58" s="7" t="n">
        <v>5</v>
      </c>
      <c r="G58" s="4" t="n">
        <v>55000</v>
      </c>
      <c r="H58" s="4" t="n">
        <f aca="false">F58*G58</f>
        <v>275000</v>
      </c>
    </row>
    <row r="59" customFormat="false" ht="15" hidden="false" customHeight="false" outlineLevel="0" collapsed="false">
      <c r="A59" s="7" t="s">
        <v>101</v>
      </c>
      <c r="B59" s="11" t="n">
        <v>45899</v>
      </c>
      <c r="C59" s="7" t="n">
        <f aca="false">MONTH(B59)</f>
        <v>8</v>
      </c>
      <c r="D59" s="7" t="s">
        <v>13</v>
      </c>
      <c r="E59" s="7" t="s">
        <v>20</v>
      </c>
      <c r="F59" s="7" t="n">
        <v>6</v>
      </c>
      <c r="G59" s="4" t="n">
        <v>22000</v>
      </c>
      <c r="H59" s="4" t="n">
        <f aca="false">F59*G59</f>
        <v>132000</v>
      </c>
    </row>
    <row r="60" customFormat="false" ht="15" hidden="false" customHeight="false" outlineLevel="0" collapsed="false">
      <c r="A60" s="7" t="s">
        <v>102</v>
      </c>
      <c r="B60" s="11" t="n">
        <v>45886</v>
      </c>
      <c r="C60" s="7" t="n">
        <f aca="false">MONTH(B60)</f>
        <v>8</v>
      </c>
      <c r="D60" s="7" t="s">
        <v>14</v>
      </c>
      <c r="E60" s="7" t="s">
        <v>20</v>
      </c>
      <c r="F60" s="7" t="n">
        <v>2</v>
      </c>
      <c r="G60" s="4" t="n">
        <v>22000</v>
      </c>
      <c r="H60" s="4" t="n">
        <f aca="false">F60*G60</f>
        <v>44000</v>
      </c>
    </row>
    <row r="61" customFormat="false" ht="15" hidden="false" customHeight="false" outlineLevel="0" collapsed="false">
      <c r="A61" s="7" t="s">
        <v>103</v>
      </c>
      <c r="B61" s="11" t="n">
        <v>45770</v>
      </c>
      <c r="C61" s="7" t="n">
        <f aca="false">MONTH(B61)</f>
        <v>4</v>
      </c>
      <c r="D61" s="7" t="s">
        <v>13</v>
      </c>
      <c r="E61" s="7" t="s">
        <v>18</v>
      </c>
      <c r="F61" s="7" t="n">
        <v>8</v>
      </c>
      <c r="G61" s="4" t="n">
        <v>55000</v>
      </c>
      <c r="H61" s="4" t="n">
        <f aca="false">F61*G61</f>
        <v>440000</v>
      </c>
    </row>
    <row r="62" customFormat="false" ht="15" hidden="false" customHeight="false" outlineLevel="0" collapsed="false">
      <c r="A62" s="7" t="s">
        <v>104</v>
      </c>
      <c r="B62" s="11" t="n">
        <v>45758</v>
      </c>
      <c r="C62" s="7" t="n">
        <f aca="false">MONTH(B62)</f>
        <v>4</v>
      </c>
      <c r="D62" s="7" t="s">
        <v>13</v>
      </c>
      <c r="E62" s="7" t="s">
        <v>20</v>
      </c>
      <c r="F62" s="7" t="n">
        <v>8</v>
      </c>
      <c r="G62" s="4" t="n">
        <v>22000</v>
      </c>
      <c r="H62" s="4" t="n">
        <f aca="false">F62*G62</f>
        <v>176000</v>
      </c>
    </row>
    <row r="63" customFormat="false" ht="15" hidden="false" customHeight="false" outlineLevel="0" collapsed="false">
      <c r="A63" s="7" t="s">
        <v>105</v>
      </c>
      <c r="B63" s="11" t="n">
        <v>45977</v>
      </c>
      <c r="C63" s="7" t="n">
        <f aca="false">MONTH(B63)</f>
        <v>11</v>
      </c>
      <c r="D63" s="7" t="s">
        <v>12</v>
      </c>
      <c r="E63" s="7" t="s">
        <v>22</v>
      </c>
      <c r="F63" s="7" t="n">
        <v>8</v>
      </c>
      <c r="G63" s="4" t="n">
        <v>6000</v>
      </c>
      <c r="H63" s="4" t="n">
        <f aca="false">F63*G63</f>
        <v>48000</v>
      </c>
    </row>
    <row r="64" customFormat="false" ht="15" hidden="false" customHeight="false" outlineLevel="0" collapsed="false">
      <c r="A64" s="7" t="s">
        <v>106</v>
      </c>
      <c r="B64" s="11" t="n">
        <v>45992</v>
      </c>
      <c r="C64" s="7" t="n">
        <f aca="false">MONTH(B64)</f>
        <v>12</v>
      </c>
      <c r="D64" s="7" t="s">
        <v>12</v>
      </c>
      <c r="E64" s="7" t="s">
        <v>20</v>
      </c>
      <c r="F64" s="7" t="n">
        <v>2</v>
      </c>
      <c r="G64" s="4" t="n">
        <v>22000</v>
      </c>
      <c r="H64" s="4" t="n">
        <f aca="false">F64*G64</f>
        <v>44000</v>
      </c>
    </row>
    <row r="65" customFormat="false" ht="15" hidden="false" customHeight="false" outlineLevel="0" collapsed="false">
      <c r="A65" s="7" t="s">
        <v>107</v>
      </c>
      <c r="B65" s="11" t="n">
        <v>45856</v>
      </c>
      <c r="C65" s="7" t="n">
        <f aca="false">MONTH(B65)</f>
        <v>7</v>
      </c>
      <c r="D65" s="7" t="s">
        <v>15</v>
      </c>
      <c r="E65" s="7" t="s">
        <v>19</v>
      </c>
      <c r="F65" s="7" t="n">
        <v>3</v>
      </c>
      <c r="G65" s="4" t="n">
        <v>18000</v>
      </c>
      <c r="H65" s="4" t="n">
        <f aca="false">F65*G65</f>
        <v>54000</v>
      </c>
    </row>
    <row r="66" customFormat="false" ht="15" hidden="false" customHeight="false" outlineLevel="0" collapsed="false">
      <c r="A66" s="7" t="s">
        <v>108</v>
      </c>
      <c r="B66" s="11" t="n">
        <v>45880</v>
      </c>
      <c r="C66" s="7" t="n">
        <f aca="false">MONTH(B66)</f>
        <v>8</v>
      </c>
      <c r="D66" s="7" t="s">
        <v>12</v>
      </c>
      <c r="E66" s="7" t="s">
        <v>20</v>
      </c>
      <c r="F66" s="7" t="n">
        <v>7</v>
      </c>
      <c r="G66" s="4" t="n">
        <v>22000</v>
      </c>
      <c r="H66" s="4" t="n">
        <f aca="false">F66*G66</f>
        <v>154000</v>
      </c>
    </row>
    <row r="67" customFormat="false" ht="15" hidden="false" customHeight="false" outlineLevel="0" collapsed="false">
      <c r="A67" s="7" t="s">
        <v>109</v>
      </c>
      <c r="B67" s="11" t="n">
        <v>45895</v>
      </c>
      <c r="C67" s="7" t="n">
        <f aca="false">MONTH(B67)</f>
        <v>8</v>
      </c>
      <c r="D67" s="7" t="s">
        <v>12</v>
      </c>
      <c r="E67" s="7" t="s">
        <v>21</v>
      </c>
      <c r="F67" s="7" t="n">
        <v>3</v>
      </c>
      <c r="G67" s="4" t="n">
        <v>2500</v>
      </c>
      <c r="H67" s="4" t="n">
        <f aca="false">F67*G67</f>
        <v>7500</v>
      </c>
    </row>
    <row r="68" customFormat="false" ht="15" hidden="false" customHeight="false" outlineLevel="0" collapsed="false">
      <c r="A68" s="7" t="s">
        <v>110</v>
      </c>
      <c r="B68" s="11" t="n">
        <v>45745</v>
      </c>
      <c r="C68" s="7" t="n">
        <f aca="false">MONTH(B68)</f>
        <v>3</v>
      </c>
      <c r="D68" s="7" t="s">
        <v>12</v>
      </c>
      <c r="E68" s="7" t="s">
        <v>19</v>
      </c>
      <c r="F68" s="7" t="n">
        <v>3</v>
      </c>
      <c r="G68" s="4" t="n">
        <v>18000</v>
      </c>
      <c r="H68" s="4" t="n">
        <f aca="false">F68*G68</f>
        <v>54000</v>
      </c>
    </row>
    <row r="69" customFormat="false" ht="15" hidden="false" customHeight="false" outlineLevel="0" collapsed="false">
      <c r="A69" s="7" t="s">
        <v>111</v>
      </c>
      <c r="B69" s="11" t="n">
        <v>45960</v>
      </c>
      <c r="C69" s="7" t="n">
        <f aca="false">MONTH(B69)</f>
        <v>10</v>
      </c>
      <c r="D69" s="7" t="s">
        <v>13</v>
      </c>
      <c r="E69" s="7" t="s">
        <v>21</v>
      </c>
      <c r="F69" s="7" t="n">
        <v>8</v>
      </c>
      <c r="G69" s="4" t="n">
        <v>2500</v>
      </c>
      <c r="H69" s="4" t="n">
        <f aca="false">F69*G69</f>
        <v>20000</v>
      </c>
    </row>
    <row r="70" customFormat="false" ht="15" hidden="false" customHeight="false" outlineLevel="0" collapsed="false">
      <c r="A70" s="7" t="s">
        <v>112</v>
      </c>
      <c r="B70" s="11" t="n">
        <v>45994</v>
      </c>
      <c r="C70" s="7" t="n">
        <f aca="false">MONTH(B70)</f>
        <v>12</v>
      </c>
      <c r="D70" s="7" t="s">
        <v>13</v>
      </c>
      <c r="E70" s="7" t="s">
        <v>20</v>
      </c>
      <c r="F70" s="7" t="n">
        <v>3</v>
      </c>
      <c r="G70" s="4" t="n">
        <v>22000</v>
      </c>
      <c r="H70" s="4" t="n">
        <f aca="false">F70*G70</f>
        <v>66000</v>
      </c>
    </row>
    <row r="71" customFormat="false" ht="15" hidden="false" customHeight="false" outlineLevel="0" collapsed="false">
      <c r="A71" s="7" t="s">
        <v>113</v>
      </c>
      <c r="B71" s="11" t="n">
        <v>45668</v>
      </c>
      <c r="C71" s="7" t="n">
        <f aca="false">MONTH(B71)</f>
        <v>1</v>
      </c>
      <c r="D71" s="7" t="s">
        <v>12</v>
      </c>
      <c r="E71" s="7" t="s">
        <v>18</v>
      </c>
      <c r="F71" s="7" t="n">
        <v>3</v>
      </c>
      <c r="G71" s="4" t="n">
        <v>55000</v>
      </c>
      <c r="H71" s="4" t="n">
        <f aca="false">F71*G71</f>
        <v>165000</v>
      </c>
    </row>
    <row r="72" customFormat="false" ht="15" hidden="false" customHeight="false" outlineLevel="0" collapsed="false">
      <c r="A72" s="7" t="s">
        <v>114</v>
      </c>
      <c r="B72" s="11" t="n">
        <v>45880</v>
      </c>
      <c r="C72" s="7" t="n">
        <f aca="false">MONTH(B72)</f>
        <v>8</v>
      </c>
      <c r="D72" s="7" t="s">
        <v>13</v>
      </c>
      <c r="E72" s="7" t="s">
        <v>19</v>
      </c>
      <c r="F72" s="7" t="n">
        <v>1</v>
      </c>
      <c r="G72" s="4" t="n">
        <v>18000</v>
      </c>
      <c r="H72" s="4" t="n">
        <f aca="false">F72*G72</f>
        <v>18000</v>
      </c>
    </row>
    <row r="73" customFormat="false" ht="15" hidden="false" customHeight="false" outlineLevel="0" collapsed="false">
      <c r="A73" s="7" t="s">
        <v>115</v>
      </c>
      <c r="B73" s="11" t="n">
        <v>45786</v>
      </c>
      <c r="C73" s="7" t="n">
        <f aca="false">MONTH(B73)</f>
        <v>5</v>
      </c>
      <c r="D73" s="7" t="s">
        <v>14</v>
      </c>
      <c r="E73" s="7" t="s">
        <v>19</v>
      </c>
      <c r="F73" s="7" t="n">
        <v>4</v>
      </c>
      <c r="G73" s="4" t="n">
        <v>18000</v>
      </c>
      <c r="H73" s="4" t="n">
        <f aca="false">F73*G73</f>
        <v>72000</v>
      </c>
    </row>
    <row r="74" customFormat="false" ht="15" hidden="false" customHeight="false" outlineLevel="0" collapsed="false">
      <c r="A74" s="7" t="s">
        <v>116</v>
      </c>
      <c r="B74" s="11" t="n">
        <v>45958</v>
      </c>
      <c r="C74" s="7" t="n">
        <f aca="false">MONTH(B74)</f>
        <v>10</v>
      </c>
      <c r="D74" s="7" t="s">
        <v>14</v>
      </c>
      <c r="E74" s="7" t="s">
        <v>20</v>
      </c>
      <c r="F74" s="7" t="n">
        <v>7</v>
      </c>
      <c r="G74" s="4" t="n">
        <v>22000</v>
      </c>
      <c r="H74" s="4" t="n">
        <f aca="false">F74*G74</f>
        <v>154000</v>
      </c>
    </row>
    <row r="75" customFormat="false" ht="15" hidden="false" customHeight="false" outlineLevel="0" collapsed="false">
      <c r="A75" s="7" t="s">
        <v>117</v>
      </c>
      <c r="B75" s="11" t="n">
        <v>45725</v>
      </c>
      <c r="C75" s="7" t="n">
        <f aca="false">MONTH(B75)</f>
        <v>3</v>
      </c>
      <c r="D75" s="7" t="s">
        <v>14</v>
      </c>
      <c r="E75" s="7" t="s">
        <v>18</v>
      </c>
      <c r="F75" s="7" t="n">
        <v>8</v>
      </c>
      <c r="G75" s="4" t="n">
        <v>55000</v>
      </c>
      <c r="H75" s="4" t="n">
        <f aca="false">F75*G75</f>
        <v>440000</v>
      </c>
    </row>
    <row r="76" customFormat="false" ht="15" hidden="false" customHeight="false" outlineLevel="0" collapsed="false">
      <c r="A76" s="7" t="s">
        <v>118</v>
      </c>
      <c r="B76" s="11" t="n">
        <v>45997</v>
      </c>
      <c r="C76" s="7" t="n">
        <f aca="false">MONTH(B76)</f>
        <v>12</v>
      </c>
      <c r="D76" s="7" t="s">
        <v>15</v>
      </c>
      <c r="E76" s="7" t="s">
        <v>22</v>
      </c>
      <c r="F76" s="7" t="n">
        <v>3</v>
      </c>
      <c r="G76" s="4" t="n">
        <v>6000</v>
      </c>
      <c r="H76" s="4" t="n">
        <f aca="false">F76*G76</f>
        <v>18000</v>
      </c>
    </row>
    <row r="77" customFormat="false" ht="15" hidden="false" customHeight="false" outlineLevel="0" collapsed="false">
      <c r="A77" s="7" t="s">
        <v>119</v>
      </c>
      <c r="B77" s="11" t="n">
        <v>45930</v>
      </c>
      <c r="C77" s="7" t="n">
        <f aca="false">MONTH(B77)</f>
        <v>9</v>
      </c>
      <c r="D77" s="7" t="s">
        <v>12</v>
      </c>
      <c r="E77" s="7" t="s">
        <v>19</v>
      </c>
      <c r="F77" s="7" t="n">
        <v>8</v>
      </c>
      <c r="G77" s="4" t="n">
        <v>18000</v>
      </c>
      <c r="H77" s="4" t="n">
        <f aca="false">F77*G77</f>
        <v>144000</v>
      </c>
    </row>
    <row r="78" customFormat="false" ht="15" hidden="false" customHeight="false" outlineLevel="0" collapsed="false">
      <c r="A78" s="7" t="s">
        <v>120</v>
      </c>
      <c r="B78" s="11" t="n">
        <v>45751</v>
      </c>
      <c r="C78" s="7" t="n">
        <f aca="false">MONTH(B78)</f>
        <v>4</v>
      </c>
      <c r="D78" s="7" t="s">
        <v>12</v>
      </c>
      <c r="E78" s="7" t="s">
        <v>22</v>
      </c>
      <c r="F78" s="7" t="n">
        <v>3</v>
      </c>
      <c r="G78" s="4" t="n">
        <v>6000</v>
      </c>
      <c r="H78" s="4" t="n">
        <f aca="false">F78*G78</f>
        <v>18000</v>
      </c>
    </row>
    <row r="79" customFormat="false" ht="15" hidden="false" customHeight="false" outlineLevel="0" collapsed="false">
      <c r="A79" s="7" t="s">
        <v>121</v>
      </c>
      <c r="B79" s="11" t="n">
        <v>45746</v>
      </c>
      <c r="C79" s="7" t="n">
        <f aca="false">MONTH(B79)</f>
        <v>3</v>
      </c>
      <c r="D79" s="7" t="s">
        <v>15</v>
      </c>
      <c r="E79" s="7" t="s">
        <v>19</v>
      </c>
      <c r="F79" s="7" t="n">
        <v>2</v>
      </c>
      <c r="G79" s="4" t="n">
        <v>18000</v>
      </c>
      <c r="H79" s="4" t="n">
        <f aca="false">F79*G79</f>
        <v>36000</v>
      </c>
    </row>
    <row r="80" customFormat="false" ht="15" hidden="false" customHeight="false" outlineLevel="0" collapsed="false">
      <c r="A80" s="7" t="s">
        <v>122</v>
      </c>
      <c r="B80" s="11" t="n">
        <v>45942</v>
      </c>
      <c r="C80" s="7" t="n">
        <f aca="false">MONTH(B80)</f>
        <v>10</v>
      </c>
      <c r="D80" s="7" t="s">
        <v>14</v>
      </c>
      <c r="E80" s="7" t="s">
        <v>18</v>
      </c>
      <c r="F80" s="7" t="n">
        <v>8</v>
      </c>
      <c r="G80" s="4" t="n">
        <v>55000</v>
      </c>
      <c r="H80" s="4" t="n">
        <f aca="false">F80*G80</f>
        <v>440000</v>
      </c>
    </row>
    <row r="81" customFormat="false" ht="15" hidden="false" customHeight="false" outlineLevel="0" collapsed="false">
      <c r="A81" s="7" t="s">
        <v>123</v>
      </c>
      <c r="B81" s="11" t="n">
        <v>45712</v>
      </c>
      <c r="C81" s="7" t="n">
        <f aca="false">MONTH(B81)</f>
        <v>2</v>
      </c>
      <c r="D81" s="7" t="s">
        <v>12</v>
      </c>
      <c r="E81" s="7" t="s">
        <v>22</v>
      </c>
      <c r="F81" s="7" t="n">
        <v>4</v>
      </c>
      <c r="G81" s="4" t="n">
        <v>6000</v>
      </c>
      <c r="H81" s="4" t="n">
        <f aca="false">F81*G81</f>
        <v>24000</v>
      </c>
    </row>
    <row r="82" customFormat="false" ht="15" hidden="false" customHeight="false" outlineLevel="0" collapsed="false">
      <c r="A82" s="7" t="s">
        <v>124</v>
      </c>
      <c r="B82" s="11" t="n">
        <v>45755</v>
      </c>
      <c r="C82" s="7" t="n">
        <f aca="false">MONTH(B82)</f>
        <v>4</v>
      </c>
      <c r="D82" s="7" t="s">
        <v>12</v>
      </c>
      <c r="E82" s="7" t="s">
        <v>20</v>
      </c>
      <c r="F82" s="7" t="n">
        <v>2</v>
      </c>
      <c r="G82" s="4" t="n">
        <v>22000</v>
      </c>
      <c r="H82" s="4" t="n">
        <f aca="false">F82*G82</f>
        <v>44000</v>
      </c>
    </row>
    <row r="83" customFormat="false" ht="15" hidden="false" customHeight="false" outlineLevel="0" collapsed="false">
      <c r="A83" s="7" t="s">
        <v>125</v>
      </c>
      <c r="B83" s="11" t="n">
        <v>45917</v>
      </c>
      <c r="C83" s="7" t="n">
        <f aca="false">MONTH(B83)</f>
        <v>9</v>
      </c>
      <c r="D83" s="7" t="s">
        <v>12</v>
      </c>
      <c r="E83" s="7" t="s">
        <v>21</v>
      </c>
      <c r="F83" s="7" t="n">
        <v>2</v>
      </c>
      <c r="G83" s="4" t="n">
        <v>2500</v>
      </c>
      <c r="H83" s="4" t="n">
        <f aca="false">F83*G83</f>
        <v>5000</v>
      </c>
    </row>
    <row r="84" customFormat="false" ht="15" hidden="false" customHeight="false" outlineLevel="0" collapsed="false">
      <c r="A84" s="7" t="s">
        <v>126</v>
      </c>
      <c r="B84" s="11" t="n">
        <v>45884</v>
      </c>
      <c r="C84" s="7" t="n">
        <f aca="false">MONTH(B84)</f>
        <v>8</v>
      </c>
      <c r="D84" s="7" t="s">
        <v>13</v>
      </c>
      <c r="E84" s="7" t="s">
        <v>20</v>
      </c>
      <c r="F84" s="7" t="n">
        <v>5</v>
      </c>
      <c r="G84" s="4" t="n">
        <v>22000</v>
      </c>
      <c r="H84" s="4" t="n">
        <f aca="false">F84*G84</f>
        <v>110000</v>
      </c>
    </row>
    <row r="85" customFormat="false" ht="15" hidden="false" customHeight="false" outlineLevel="0" collapsed="false">
      <c r="A85" s="7" t="s">
        <v>127</v>
      </c>
      <c r="B85" s="11" t="n">
        <v>45889</v>
      </c>
      <c r="C85" s="7" t="n">
        <f aca="false">MONTH(B85)</f>
        <v>8</v>
      </c>
      <c r="D85" s="7" t="s">
        <v>15</v>
      </c>
      <c r="E85" s="7" t="s">
        <v>22</v>
      </c>
      <c r="F85" s="7" t="n">
        <v>4</v>
      </c>
      <c r="G85" s="4" t="n">
        <v>6000</v>
      </c>
      <c r="H85" s="4" t="n">
        <f aca="false">F85*G85</f>
        <v>24000</v>
      </c>
    </row>
    <row r="86" customFormat="false" ht="15" hidden="false" customHeight="false" outlineLevel="0" collapsed="false">
      <c r="A86" s="7" t="s">
        <v>128</v>
      </c>
      <c r="B86" s="11" t="n">
        <v>46015</v>
      </c>
      <c r="C86" s="7" t="n">
        <f aca="false">MONTH(B86)</f>
        <v>12</v>
      </c>
      <c r="D86" s="7" t="s">
        <v>14</v>
      </c>
      <c r="E86" s="7" t="s">
        <v>22</v>
      </c>
      <c r="F86" s="7" t="n">
        <v>4</v>
      </c>
      <c r="G86" s="4" t="n">
        <v>6000</v>
      </c>
      <c r="H86" s="4" t="n">
        <f aca="false">F86*G86</f>
        <v>24000</v>
      </c>
    </row>
    <row r="87" customFormat="false" ht="15" hidden="false" customHeight="false" outlineLevel="0" collapsed="false">
      <c r="A87" s="7" t="s">
        <v>129</v>
      </c>
      <c r="B87" s="11" t="n">
        <v>45887</v>
      </c>
      <c r="C87" s="7" t="n">
        <f aca="false">MONTH(B87)</f>
        <v>8</v>
      </c>
      <c r="D87" s="7" t="s">
        <v>15</v>
      </c>
      <c r="E87" s="7" t="s">
        <v>19</v>
      </c>
      <c r="F87" s="7" t="n">
        <v>2</v>
      </c>
      <c r="G87" s="4" t="n">
        <v>18000</v>
      </c>
      <c r="H87" s="4" t="n">
        <f aca="false">F87*G87</f>
        <v>36000</v>
      </c>
    </row>
    <row r="88" customFormat="false" ht="15" hidden="false" customHeight="false" outlineLevel="0" collapsed="false">
      <c r="A88" s="7" t="s">
        <v>130</v>
      </c>
      <c r="B88" s="11" t="n">
        <v>45858</v>
      </c>
      <c r="C88" s="7" t="n">
        <f aca="false">MONTH(B88)</f>
        <v>7</v>
      </c>
      <c r="D88" s="7" t="s">
        <v>14</v>
      </c>
      <c r="E88" s="7" t="s">
        <v>21</v>
      </c>
      <c r="F88" s="7" t="n">
        <v>2</v>
      </c>
      <c r="G88" s="4" t="n">
        <v>2500</v>
      </c>
      <c r="H88" s="4" t="n">
        <f aca="false">F88*G88</f>
        <v>5000</v>
      </c>
    </row>
    <row r="89" customFormat="false" ht="15" hidden="false" customHeight="false" outlineLevel="0" collapsed="false">
      <c r="A89" s="7" t="s">
        <v>131</v>
      </c>
      <c r="B89" s="11" t="n">
        <v>46001</v>
      </c>
      <c r="C89" s="7" t="n">
        <f aca="false">MONTH(B89)</f>
        <v>12</v>
      </c>
      <c r="D89" s="7" t="s">
        <v>15</v>
      </c>
      <c r="E89" s="7" t="s">
        <v>19</v>
      </c>
      <c r="F89" s="7" t="n">
        <v>2</v>
      </c>
      <c r="G89" s="4" t="n">
        <v>18000</v>
      </c>
      <c r="H89" s="4" t="n">
        <f aca="false">F89*G89</f>
        <v>36000</v>
      </c>
    </row>
    <row r="90" customFormat="false" ht="15" hidden="false" customHeight="false" outlineLevel="0" collapsed="false">
      <c r="A90" s="7" t="s">
        <v>132</v>
      </c>
      <c r="B90" s="11" t="n">
        <v>45766</v>
      </c>
      <c r="C90" s="7" t="n">
        <f aca="false">MONTH(B90)</f>
        <v>4</v>
      </c>
      <c r="D90" s="7" t="s">
        <v>12</v>
      </c>
      <c r="E90" s="7" t="s">
        <v>20</v>
      </c>
      <c r="F90" s="7" t="n">
        <v>3</v>
      </c>
      <c r="G90" s="4" t="n">
        <v>22000</v>
      </c>
      <c r="H90" s="4" t="n">
        <f aca="false">F90*G90</f>
        <v>66000</v>
      </c>
    </row>
    <row r="91" customFormat="false" ht="15" hidden="false" customHeight="false" outlineLevel="0" collapsed="false">
      <c r="A91" s="7" t="s">
        <v>133</v>
      </c>
      <c r="B91" s="11" t="n">
        <v>45987</v>
      </c>
      <c r="C91" s="7" t="n">
        <f aca="false">MONTH(B91)</f>
        <v>11</v>
      </c>
      <c r="D91" s="7" t="s">
        <v>13</v>
      </c>
      <c r="E91" s="7" t="s">
        <v>20</v>
      </c>
      <c r="F91" s="7" t="n">
        <v>5</v>
      </c>
      <c r="G91" s="4" t="n">
        <v>22000</v>
      </c>
      <c r="H91" s="4" t="n">
        <f aca="false">F91*G91</f>
        <v>110000</v>
      </c>
    </row>
    <row r="92" customFormat="false" ht="15" hidden="false" customHeight="false" outlineLevel="0" collapsed="false">
      <c r="A92" s="7" t="s">
        <v>134</v>
      </c>
      <c r="B92" s="11" t="n">
        <v>45728</v>
      </c>
      <c r="C92" s="7" t="n">
        <f aca="false">MONTH(B92)</f>
        <v>3</v>
      </c>
      <c r="D92" s="7" t="s">
        <v>13</v>
      </c>
      <c r="E92" s="7" t="s">
        <v>21</v>
      </c>
      <c r="F92" s="7" t="n">
        <v>2</v>
      </c>
      <c r="G92" s="4" t="n">
        <v>2500</v>
      </c>
      <c r="H92" s="4" t="n">
        <f aca="false">F92*G92</f>
        <v>5000</v>
      </c>
    </row>
    <row r="93" customFormat="false" ht="15" hidden="false" customHeight="false" outlineLevel="0" collapsed="false">
      <c r="A93" s="7" t="s">
        <v>135</v>
      </c>
      <c r="B93" s="11" t="n">
        <v>45861</v>
      </c>
      <c r="C93" s="7" t="n">
        <f aca="false">MONTH(B93)</f>
        <v>7</v>
      </c>
      <c r="D93" s="7" t="s">
        <v>13</v>
      </c>
      <c r="E93" s="7" t="s">
        <v>21</v>
      </c>
      <c r="F93" s="7" t="n">
        <v>4</v>
      </c>
      <c r="G93" s="4" t="n">
        <v>2500</v>
      </c>
      <c r="H93" s="4" t="n">
        <f aca="false">F93*G93</f>
        <v>10000</v>
      </c>
    </row>
    <row r="94" customFormat="false" ht="15" hidden="false" customHeight="false" outlineLevel="0" collapsed="false">
      <c r="A94" s="7" t="s">
        <v>136</v>
      </c>
      <c r="B94" s="11" t="n">
        <v>45740</v>
      </c>
      <c r="C94" s="7" t="n">
        <f aca="false">MONTH(B94)</f>
        <v>3</v>
      </c>
      <c r="D94" s="7" t="s">
        <v>15</v>
      </c>
      <c r="E94" s="7" t="s">
        <v>21</v>
      </c>
      <c r="F94" s="7" t="n">
        <v>6</v>
      </c>
      <c r="G94" s="4" t="n">
        <v>2500</v>
      </c>
      <c r="H94" s="4" t="n">
        <f aca="false">F94*G94</f>
        <v>15000</v>
      </c>
    </row>
    <row r="95" customFormat="false" ht="15" hidden="false" customHeight="false" outlineLevel="0" collapsed="false">
      <c r="A95" s="7" t="s">
        <v>137</v>
      </c>
      <c r="B95" s="11" t="n">
        <v>45873</v>
      </c>
      <c r="C95" s="7" t="n">
        <f aca="false">MONTH(B95)</f>
        <v>8</v>
      </c>
      <c r="D95" s="7" t="s">
        <v>14</v>
      </c>
      <c r="E95" s="7" t="s">
        <v>19</v>
      </c>
      <c r="F95" s="7" t="n">
        <v>6</v>
      </c>
      <c r="G95" s="4" t="n">
        <v>18000</v>
      </c>
      <c r="H95" s="4" t="n">
        <f aca="false">F95*G95</f>
        <v>108000</v>
      </c>
    </row>
    <row r="96" customFormat="false" ht="15" hidden="false" customHeight="false" outlineLevel="0" collapsed="false">
      <c r="A96" s="7" t="s">
        <v>138</v>
      </c>
      <c r="B96" s="11" t="n">
        <v>45705</v>
      </c>
      <c r="C96" s="7" t="n">
        <f aca="false">MONTH(B96)</f>
        <v>2</v>
      </c>
      <c r="D96" s="7" t="s">
        <v>12</v>
      </c>
      <c r="E96" s="7" t="s">
        <v>20</v>
      </c>
      <c r="F96" s="7" t="n">
        <v>6</v>
      </c>
      <c r="G96" s="4" t="n">
        <v>22000</v>
      </c>
      <c r="H96" s="4" t="n">
        <f aca="false">F96*G96</f>
        <v>132000</v>
      </c>
    </row>
    <row r="97" customFormat="false" ht="15" hidden="false" customHeight="false" outlineLevel="0" collapsed="false">
      <c r="A97" s="7" t="s">
        <v>139</v>
      </c>
      <c r="B97" s="11" t="n">
        <v>45941</v>
      </c>
      <c r="C97" s="7" t="n">
        <f aca="false">MONTH(B97)</f>
        <v>10</v>
      </c>
      <c r="D97" s="7" t="s">
        <v>15</v>
      </c>
      <c r="E97" s="7" t="s">
        <v>21</v>
      </c>
      <c r="F97" s="7" t="n">
        <v>1</v>
      </c>
      <c r="G97" s="4" t="n">
        <v>2500</v>
      </c>
      <c r="H97" s="4" t="n">
        <f aca="false">F97*G97</f>
        <v>2500</v>
      </c>
    </row>
    <row r="98" customFormat="false" ht="15" hidden="false" customHeight="false" outlineLevel="0" collapsed="false">
      <c r="A98" s="7" t="s">
        <v>140</v>
      </c>
      <c r="B98" s="11" t="n">
        <v>45854</v>
      </c>
      <c r="C98" s="7" t="n">
        <f aca="false">MONTH(B98)</f>
        <v>7</v>
      </c>
      <c r="D98" s="7" t="s">
        <v>14</v>
      </c>
      <c r="E98" s="7" t="s">
        <v>20</v>
      </c>
      <c r="F98" s="7" t="n">
        <v>2</v>
      </c>
      <c r="G98" s="4" t="n">
        <v>22000</v>
      </c>
      <c r="H98" s="4" t="n">
        <f aca="false">F98*G98</f>
        <v>44000</v>
      </c>
    </row>
    <row r="99" customFormat="false" ht="15" hidden="false" customHeight="false" outlineLevel="0" collapsed="false">
      <c r="A99" s="7" t="s">
        <v>141</v>
      </c>
      <c r="B99" s="11" t="n">
        <v>45715</v>
      </c>
      <c r="C99" s="7" t="n">
        <f aca="false">MONTH(B99)</f>
        <v>2</v>
      </c>
      <c r="D99" s="7" t="s">
        <v>12</v>
      </c>
      <c r="E99" s="7" t="s">
        <v>19</v>
      </c>
      <c r="F99" s="7" t="n">
        <v>2</v>
      </c>
      <c r="G99" s="4" t="n">
        <v>18000</v>
      </c>
      <c r="H99" s="4" t="n">
        <f aca="false">F99*G99</f>
        <v>36000</v>
      </c>
    </row>
    <row r="100" customFormat="false" ht="15" hidden="false" customHeight="false" outlineLevel="0" collapsed="false">
      <c r="A100" s="7" t="s">
        <v>142</v>
      </c>
      <c r="B100" s="11" t="n">
        <v>45793</v>
      </c>
      <c r="C100" s="7" t="n">
        <f aca="false">MONTH(B100)</f>
        <v>5</v>
      </c>
      <c r="D100" s="7" t="s">
        <v>12</v>
      </c>
      <c r="E100" s="7" t="s">
        <v>20</v>
      </c>
      <c r="F100" s="7" t="n">
        <v>3</v>
      </c>
      <c r="G100" s="4" t="n">
        <v>22000</v>
      </c>
      <c r="H100" s="4" t="n">
        <f aca="false">F100*G100</f>
        <v>66000</v>
      </c>
    </row>
    <row r="101" customFormat="false" ht="15" hidden="false" customHeight="false" outlineLevel="0" collapsed="false">
      <c r="A101" s="7" t="s">
        <v>143</v>
      </c>
      <c r="B101" s="11" t="n">
        <v>45796</v>
      </c>
      <c r="C101" s="7" t="n">
        <f aca="false">MONTH(B101)</f>
        <v>5</v>
      </c>
      <c r="D101" s="7" t="s">
        <v>15</v>
      </c>
      <c r="E101" s="7" t="s">
        <v>19</v>
      </c>
      <c r="F101" s="7" t="n">
        <v>5</v>
      </c>
      <c r="G101" s="4" t="n">
        <v>18000</v>
      </c>
      <c r="H101" s="4" t="n">
        <f aca="false">F101*G101</f>
        <v>90000</v>
      </c>
    </row>
    <row r="102" customFormat="false" ht="15" hidden="false" customHeight="false" outlineLevel="0" collapsed="false">
      <c r="A102" s="7" t="s">
        <v>144</v>
      </c>
      <c r="B102" s="11" t="n">
        <v>45865</v>
      </c>
      <c r="C102" s="7" t="n">
        <f aca="false">MONTH(B102)</f>
        <v>7</v>
      </c>
      <c r="D102" s="7" t="s">
        <v>15</v>
      </c>
      <c r="E102" s="7" t="s">
        <v>19</v>
      </c>
      <c r="F102" s="7" t="n">
        <v>6</v>
      </c>
      <c r="G102" s="4" t="n">
        <v>18000</v>
      </c>
      <c r="H102" s="4" t="n">
        <f aca="false">F102*G102</f>
        <v>108000</v>
      </c>
    </row>
    <row r="103" customFormat="false" ht="15" hidden="false" customHeight="false" outlineLevel="0" collapsed="false">
      <c r="A103" s="7" t="s">
        <v>145</v>
      </c>
      <c r="B103" s="11" t="n">
        <v>45703</v>
      </c>
      <c r="C103" s="7" t="n">
        <f aca="false">MONTH(B103)</f>
        <v>2</v>
      </c>
      <c r="D103" s="7" t="s">
        <v>12</v>
      </c>
      <c r="E103" s="7" t="s">
        <v>20</v>
      </c>
      <c r="F103" s="7" t="n">
        <v>3</v>
      </c>
      <c r="G103" s="4" t="n">
        <v>22000</v>
      </c>
      <c r="H103" s="4" t="n">
        <f aca="false">F103*G103</f>
        <v>66000</v>
      </c>
    </row>
    <row r="104" customFormat="false" ht="15" hidden="false" customHeight="false" outlineLevel="0" collapsed="false">
      <c r="A104" s="7" t="s">
        <v>146</v>
      </c>
      <c r="B104" s="11" t="n">
        <v>45875</v>
      </c>
      <c r="C104" s="7" t="n">
        <f aca="false">MONTH(B104)</f>
        <v>8</v>
      </c>
      <c r="D104" s="7" t="s">
        <v>14</v>
      </c>
      <c r="E104" s="7" t="s">
        <v>18</v>
      </c>
      <c r="F104" s="7" t="n">
        <v>1</v>
      </c>
      <c r="G104" s="4" t="n">
        <v>55000</v>
      </c>
      <c r="H104" s="4" t="n">
        <f aca="false">F104*G104</f>
        <v>55000</v>
      </c>
    </row>
    <row r="105" customFormat="false" ht="15" hidden="false" customHeight="false" outlineLevel="0" collapsed="false">
      <c r="A105" s="7" t="s">
        <v>147</v>
      </c>
      <c r="B105" s="11" t="n">
        <v>45982</v>
      </c>
      <c r="C105" s="7" t="n">
        <f aca="false">MONTH(B105)</f>
        <v>11</v>
      </c>
      <c r="D105" s="7" t="s">
        <v>14</v>
      </c>
      <c r="E105" s="7" t="s">
        <v>18</v>
      </c>
      <c r="F105" s="7" t="n">
        <v>2</v>
      </c>
      <c r="G105" s="4" t="n">
        <v>55000</v>
      </c>
      <c r="H105" s="4" t="n">
        <f aca="false">F105*G105</f>
        <v>110000</v>
      </c>
    </row>
    <row r="106" customFormat="false" ht="15" hidden="false" customHeight="false" outlineLevel="0" collapsed="false">
      <c r="A106" s="7" t="s">
        <v>148</v>
      </c>
      <c r="B106" s="11" t="n">
        <v>45969</v>
      </c>
      <c r="C106" s="7" t="n">
        <f aca="false">MONTH(B106)</f>
        <v>11</v>
      </c>
      <c r="D106" s="7" t="s">
        <v>12</v>
      </c>
      <c r="E106" s="7" t="s">
        <v>19</v>
      </c>
      <c r="F106" s="7" t="n">
        <v>5</v>
      </c>
      <c r="G106" s="4" t="n">
        <v>18000</v>
      </c>
      <c r="H106" s="4" t="n">
        <f aca="false">F106*G106</f>
        <v>90000</v>
      </c>
    </row>
    <row r="107" customFormat="false" ht="15" hidden="false" customHeight="false" outlineLevel="0" collapsed="false">
      <c r="A107" s="7" t="s">
        <v>149</v>
      </c>
      <c r="B107" s="11" t="n">
        <v>45720</v>
      </c>
      <c r="C107" s="7" t="n">
        <f aca="false">MONTH(B107)</f>
        <v>3</v>
      </c>
      <c r="D107" s="7" t="s">
        <v>12</v>
      </c>
      <c r="E107" s="7" t="s">
        <v>21</v>
      </c>
      <c r="F107" s="7" t="n">
        <v>6</v>
      </c>
      <c r="G107" s="4" t="n">
        <v>2500</v>
      </c>
      <c r="H107" s="4" t="n">
        <f aca="false">F107*G107</f>
        <v>15000</v>
      </c>
    </row>
    <row r="108" customFormat="false" ht="15" hidden="false" customHeight="false" outlineLevel="0" collapsed="false">
      <c r="A108" s="7" t="s">
        <v>150</v>
      </c>
      <c r="B108" s="11" t="n">
        <v>45941</v>
      </c>
      <c r="C108" s="7" t="n">
        <f aca="false">MONTH(B108)</f>
        <v>10</v>
      </c>
      <c r="D108" s="7" t="s">
        <v>14</v>
      </c>
      <c r="E108" s="7" t="s">
        <v>21</v>
      </c>
      <c r="F108" s="7" t="n">
        <v>3</v>
      </c>
      <c r="G108" s="4" t="n">
        <v>2500</v>
      </c>
      <c r="H108" s="4" t="n">
        <f aca="false">F108*G108</f>
        <v>7500</v>
      </c>
    </row>
    <row r="109" customFormat="false" ht="15" hidden="false" customHeight="false" outlineLevel="0" collapsed="false">
      <c r="A109" s="7" t="s">
        <v>151</v>
      </c>
      <c r="B109" s="11" t="n">
        <v>45680</v>
      </c>
      <c r="C109" s="7" t="n">
        <f aca="false">MONTH(B109)</f>
        <v>1</v>
      </c>
      <c r="D109" s="7" t="s">
        <v>13</v>
      </c>
      <c r="E109" s="7" t="s">
        <v>22</v>
      </c>
      <c r="F109" s="7" t="n">
        <v>2</v>
      </c>
      <c r="G109" s="4" t="n">
        <v>6000</v>
      </c>
      <c r="H109" s="4" t="n">
        <f aca="false">F109*G109</f>
        <v>12000</v>
      </c>
    </row>
    <row r="110" customFormat="false" ht="15" hidden="false" customHeight="false" outlineLevel="0" collapsed="false">
      <c r="A110" s="7" t="s">
        <v>152</v>
      </c>
      <c r="B110" s="11" t="n">
        <v>45740</v>
      </c>
      <c r="C110" s="7" t="n">
        <f aca="false">MONTH(B110)</f>
        <v>3</v>
      </c>
      <c r="D110" s="7" t="s">
        <v>12</v>
      </c>
      <c r="E110" s="7" t="s">
        <v>20</v>
      </c>
      <c r="F110" s="7" t="n">
        <v>3</v>
      </c>
      <c r="G110" s="4" t="n">
        <v>22000</v>
      </c>
      <c r="H110" s="4" t="n">
        <f aca="false">F110*G110</f>
        <v>66000</v>
      </c>
    </row>
    <row r="111" customFormat="false" ht="15" hidden="false" customHeight="false" outlineLevel="0" collapsed="false">
      <c r="A111" s="7" t="s">
        <v>153</v>
      </c>
      <c r="B111" s="11" t="n">
        <v>45761</v>
      </c>
      <c r="C111" s="7" t="n">
        <f aca="false">MONTH(B111)</f>
        <v>4</v>
      </c>
      <c r="D111" s="7" t="s">
        <v>14</v>
      </c>
      <c r="E111" s="7" t="s">
        <v>20</v>
      </c>
      <c r="F111" s="7" t="n">
        <v>4</v>
      </c>
      <c r="G111" s="4" t="n">
        <v>22000</v>
      </c>
      <c r="H111" s="4" t="n">
        <f aca="false">F111*G111</f>
        <v>88000</v>
      </c>
    </row>
    <row r="112" customFormat="false" ht="15" hidden="false" customHeight="false" outlineLevel="0" collapsed="false">
      <c r="A112" s="7" t="s">
        <v>154</v>
      </c>
      <c r="B112" s="11" t="n">
        <v>45806</v>
      </c>
      <c r="C112" s="7" t="n">
        <f aca="false">MONTH(B112)</f>
        <v>5</v>
      </c>
      <c r="D112" s="7" t="s">
        <v>13</v>
      </c>
      <c r="E112" s="7" t="s">
        <v>21</v>
      </c>
      <c r="F112" s="7" t="n">
        <v>5</v>
      </c>
      <c r="G112" s="4" t="n">
        <v>2500</v>
      </c>
      <c r="H112" s="4" t="n">
        <f aca="false">F112*G112</f>
        <v>12500</v>
      </c>
    </row>
    <row r="113" customFormat="false" ht="15" hidden="false" customHeight="false" outlineLevel="0" collapsed="false">
      <c r="A113" s="7" t="s">
        <v>155</v>
      </c>
      <c r="B113" s="11" t="n">
        <v>45835</v>
      </c>
      <c r="C113" s="7" t="n">
        <f aca="false">MONTH(B113)</f>
        <v>6</v>
      </c>
      <c r="D113" s="7" t="s">
        <v>14</v>
      </c>
      <c r="E113" s="7" t="s">
        <v>18</v>
      </c>
      <c r="F113" s="7" t="n">
        <v>1</v>
      </c>
      <c r="G113" s="4" t="n">
        <v>55000</v>
      </c>
      <c r="H113" s="4" t="n">
        <f aca="false">F113*G113</f>
        <v>55000</v>
      </c>
    </row>
    <row r="114" customFormat="false" ht="15" hidden="false" customHeight="false" outlineLevel="0" collapsed="false">
      <c r="A114" s="7" t="s">
        <v>156</v>
      </c>
      <c r="B114" s="11" t="n">
        <v>45665</v>
      </c>
      <c r="C114" s="7" t="n">
        <f aca="false">MONTH(B114)</f>
        <v>1</v>
      </c>
      <c r="D114" s="7" t="s">
        <v>13</v>
      </c>
      <c r="E114" s="7" t="s">
        <v>18</v>
      </c>
      <c r="F114" s="7" t="n">
        <v>8</v>
      </c>
      <c r="G114" s="4" t="n">
        <v>55000</v>
      </c>
      <c r="H114" s="4" t="n">
        <f aca="false">F114*G114</f>
        <v>440000</v>
      </c>
    </row>
    <row r="115" customFormat="false" ht="15" hidden="false" customHeight="false" outlineLevel="0" collapsed="false">
      <c r="A115" s="7" t="s">
        <v>157</v>
      </c>
      <c r="B115" s="11" t="n">
        <v>45783</v>
      </c>
      <c r="C115" s="7" t="n">
        <f aca="false">MONTH(B115)</f>
        <v>5</v>
      </c>
      <c r="D115" s="7" t="s">
        <v>12</v>
      </c>
      <c r="E115" s="7" t="s">
        <v>21</v>
      </c>
      <c r="F115" s="7" t="n">
        <v>7</v>
      </c>
      <c r="G115" s="4" t="n">
        <v>2500</v>
      </c>
      <c r="H115" s="4" t="n">
        <f aca="false">F115*G115</f>
        <v>17500</v>
      </c>
    </row>
    <row r="116" customFormat="false" ht="15" hidden="false" customHeight="false" outlineLevel="0" collapsed="false">
      <c r="A116" s="7" t="s">
        <v>158</v>
      </c>
      <c r="B116" s="11" t="n">
        <v>45994</v>
      </c>
      <c r="C116" s="7" t="n">
        <f aca="false">MONTH(B116)</f>
        <v>12</v>
      </c>
      <c r="D116" s="7" t="s">
        <v>15</v>
      </c>
      <c r="E116" s="7" t="s">
        <v>21</v>
      </c>
      <c r="F116" s="7" t="n">
        <v>5</v>
      </c>
      <c r="G116" s="4" t="n">
        <v>2500</v>
      </c>
      <c r="H116" s="4" t="n">
        <f aca="false">F116*G116</f>
        <v>12500</v>
      </c>
    </row>
    <row r="117" customFormat="false" ht="15" hidden="false" customHeight="false" outlineLevel="0" collapsed="false">
      <c r="A117" s="7" t="s">
        <v>159</v>
      </c>
      <c r="B117" s="11" t="n">
        <v>46010</v>
      </c>
      <c r="C117" s="7" t="n">
        <f aca="false">MONTH(B117)</f>
        <v>12</v>
      </c>
      <c r="D117" s="7" t="s">
        <v>13</v>
      </c>
      <c r="E117" s="7" t="s">
        <v>19</v>
      </c>
      <c r="F117" s="7" t="n">
        <v>6</v>
      </c>
      <c r="G117" s="4" t="n">
        <v>18000</v>
      </c>
      <c r="H117" s="4" t="n">
        <f aca="false">F117*G117</f>
        <v>108000</v>
      </c>
    </row>
    <row r="118" customFormat="false" ht="15" hidden="false" customHeight="false" outlineLevel="0" collapsed="false">
      <c r="A118" s="7" t="s">
        <v>160</v>
      </c>
      <c r="B118" s="11" t="n">
        <v>45759</v>
      </c>
      <c r="C118" s="7" t="n">
        <f aca="false">MONTH(B118)</f>
        <v>4</v>
      </c>
      <c r="D118" s="7" t="s">
        <v>15</v>
      </c>
      <c r="E118" s="7" t="s">
        <v>19</v>
      </c>
      <c r="F118" s="7" t="n">
        <v>6</v>
      </c>
      <c r="G118" s="4" t="n">
        <v>18000</v>
      </c>
      <c r="H118" s="4" t="n">
        <f aca="false">F118*G118</f>
        <v>108000</v>
      </c>
    </row>
    <row r="119" customFormat="false" ht="15" hidden="false" customHeight="false" outlineLevel="0" collapsed="false">
      <c r="A119" s="7" t="s">
        <v>161</v>
      </c>
      <c r="B119" s="11" t="n">
        <v>45685</v>
      </c>
      <c r="C119" s="7" t="n">
        <f aca="false">MONTH(B119)</f>
        <v>1</v>
      </c>
      <c r="D119" s="7" t="s">
        <v>12</v>
      </c>
      <c r="E119" s="7" t="s">
        <v>19</v>
      </c>
      <c r="F119" s="7" t="n">
        <v>2</v>
      </c>
      <c r="G119" s="4" t="n">
        <v>18000</v>
      </c>
      <c r="H119" s="4" t="n">
        <f aca="false">F119*G119</f>
        <v>36000</v>
      </c>
    </row>
    <row r="120" customFormat="false" ht="15" hidden="false" customHeight="false" outlineLevel="0" collapsed="false">
      <c r="A120" s="7" t="s">
        <v>162</v>
      </c>
      <c r="B120" s="11" t="n">
        <v>45978</v>
      </c>
      <c r="C120" s="7" t="n">
        <f aca="false">MONTH(B120)</f>
        <v>11</v>
      </c>
      <c r="D120" s="7" t="s">
        <v>15</v>
      </c>
      <c r="E120" s="7" t="s">
        <v>20</v>
      </c>
      <c r="F120" s="7" t="n">
        <v>3</v>
      </c>
      <c r="G120" s="4" t="n">
        <v>22000</v>
      </c>
      <c r="H120" s="4" t="n">
        <f aca="false">F120*G120</f>
        <v>66000</v>
      </c>
    </row>
    <row r="121" customFormat="false" ht="15" hidden="false" customHeight="false" outlineLevel="0" collapsed="false">
      <c r="A121" s="7" t="s">
        <v>163</v>
      </c>
      <c r="B121" s="11" t="n">
        <v>45686</v>
      </c>
      <c r="C121" s="7" t="n">
        <f aca="false">MONTH(B121)</f>
        <v>1</v>
      </c>
      <c r="D121" s="7" t="s">
        <v>15</v>
      </c>
      <c r="E121" s="7" t="s">
        <v>18</v>
      </c>
      <c r="F121" s="7" t="n">
        <v>5</v>
      </c>
      <c r="G121" s="4" t="n">
        <v>55000</v>
      </c>
      <c r="H121" s="4" t="n">
        <f aca="false">F121*G121</f>
        <v>275000</v>
      </c>
    </row>
    <row r="122" customFormat="false" ht="15" hidden="false" customHeight="false" outlineLevel="0" collapsed="false">
      <c r="A122" s="7" t="s">
        <v>164</v>
      </c>
      <c r="B122" s="11" t="n">
        <v>45964</v>
      </c>
      <c r="C122" s="7" t="n">
        <f aca="false">MONTH(B122)</f>
        <v>11</v>
      </c>
      <c r="D122" s="7" t="s">
        <v>14</v>
      </c>
      <c r="E122" s="7" t="s">
        <v>19</v>
      </c>
      <c r="F122" s="7" t="n">
        <v>1</v>
      </c>
      <c r="G122" s="4" t="n">
        <v>18000</v>
      </c>
      <c r="H122" s="4" t="n">
        <f aca="false">F122*G122</f>
        <v>18000</v>
      </c>
    </row>
    <row r="123" customFormat="false" ht="15" hidden="false" customHeight="false" outlineLevel="0" collapsed="false">
      <c r="A123" s="7" t="s">
        <v>165</v>
      </c>
      <c r="B123" s="11" t="n">
        <v>45893</v>
      </c>
      <c r="C123" s="7" t="n">
        <f aca="false">MONTH(B123)</f>
        <v>8</v>
      </c>
      <c r="D123" s="7" t="s">
        <v>13</v>
      </c>
      <c r="E123" s="7" t="s">
        <v>19</v>
      </c>
      <c r="F123" s="7" t="n">
        <v>5</v>
      </c>
      <c r="G123" s="4" t="n">
        <v>18000</v>
      </c>
      <c r="H123" s="4" t="n">
        <f aca="false">F123*G123</f>
        <v>90000</v>
      </c>
    </row>
    <row r="124" customFormat="false" ht="15" hidden="false" customHeight="false" outlineLevel="0" collapsed="false">
      <c r="A124" s="7" t="s">
        <v>166</v>
      </c>
      <c r="B124" s="11" t="n">
        <v>45886</v>
      </c>
      <c r="C124" s="7" t="n">
        <f aca="false">MONTH(B124)</f>
        <v>8</v>
      </c>
      <c r="D124" s="7" t="s">
        <v>14</v>
      </c>
      <c r="E124" s="7" t="s">
        <v>18</v>
      </c>
      <c r="F124" s="7" t="n">
        <v>6</v>
      </c>
      <c r="G124" s="4" t="n">
        <v>55000</v>
      </c>
      <c r="H124" s="4" t="n">
        <f aca="false">F124*G124</f>
        <v>330000</v>
      </c>
    </row>
    <row r="125" customFormat="false" ht="15" hidden="false" customHeight="false" outlineLevel="0" collapsed="false">
      <c r="A125" s="7" t="s">
        <v>167</v>
      </c>
      <c r="B125" s="11" t="n">
        <v>45826</v>
      </c>
      <c r="C125" s="7" t="n">
        <f aca="false">MONTH(B125)</f>
        <v>6</v>
      </c>
      <c r="D125" s="7" t="s">
        <v>14</v>
      </c>
      <c r="E125" s="7" t="s">
        <v>22</v>
      </c>
      <c r="F125" s="7" t="n">
        <v>4</v>
      </c>
      <c r="G125" s="4" t="n">
        <v>6000</v>
      </c>
      <c r="H125" s="4" t="n">
        <f aca="false">F125*G125</f>
        <v>24000</v>
      </c>
    </row>
    <row r="126" customFormat="false" ht="15" hidden="false" customHeight="false" outlineLevel="0" collapsed="false">
      <c r="A126" s="7" t="s">
        <v>168</v>
      </c>
      <c r="B126" s="11" t="n">
        <v>45675</v>
      </c>
      <c r="C126" s="7" t="n">
        <f aca="false">MONTH(B126)</f>
        <v>1</v>
      </c>
      <c r="D126" s="7" t="s">
        <v>13</v>
      </c>
      <c r="E126" s="7" t="s">
        <v>20</v>
      </c>
      <c r="F126" s="7" t="n">
        <v>6</v>
      </c>
      <c r="G126" s="4" t="n">
        <v>22000</v>
      </c>
      <c r="H126" s="4" t="n">
        <f aca="false">F126*G126</f>
        <v>132000</v>
      </c>
    </row>
    <row r="127" customFormat="false" ht="15" hidden="false" customHeight="false" outlineLevel="0" collapsed="false">
      <c r="A127" s="7" t="s">
        <v>169</v>
      </c>
      <c r="B127" s="11" t="n">
        <v>45751</v>
      </c>
      <c r="C127" s="7" t="n">
        <f aca="false">MONTH(B127)</f>
        <v>4</v>
      </c>
      <c r="D127" s="7" t="s">
        <v>14</v>
      </c>
      <c r="E127" s="7" t="s">
        <v>18</v>
      </c>
      <c r="F127" s="7" t="n">
        <v>7</v>
      </c>
      <c r="G127" s="4" t="n">
        <v>55000</v>
      </c>
      <c r="H127" s="4" t="n">
        <f aca="false">F127*G127</f>
        <v>385000</v>
      </c>
    </row>
    <row r="128" customFormat="false" ht="15" hidden="false" customHeight="false" outlineLevel="0" collapsed="false">
      <c r="A128" s="7" t="s">
        <v>170</v>
      </c>
      <c r="B128" s="11" t="n">
        <v>45700</v>
      </c>
      <c r="C128" s="7" t="n">
        <f aca="false">MONTH(B128)</f>
        <v>2</v>
      </c>
      <c r="D128" s="7" t="s">
        <v>14</v>
      </c>
      <c r="E128" s="7" t="s">
        <v>21</v>
      </c>
      <c r="F128" s="7" t="n">
        <v>4</v>
      </c>
      <c r="G128" s="4" t="n">
        <v>2500</v>
      </c>
      <c r="H128" s="4" t="n">
        <f aca="false">F128*G128</f>
        <v>10000</v>
      </c>
    </row>
    <row r="129" customFormat="false" ht="15" hidden="false" customHeight="false" outlineLevel="0" collapsed="false">
      <c r="A129" s="7" t="s">
        <v>171</v>
      </c>
      <c r="B129" s="11" t="n">
        <v>45785</v>
      </c>
      <c r="C129" s="7" t="n">
        <f aca="false">MONTH(B129)</f>
        <v>5</v>
      </c>
      <c r="D129" s="7" t="s">
        <v>12</v>
      </c>
      <c r="E129" s="7" t="s">
        <v>22</v>
      </c>
      <c r="F129" s="7" t="n">
        <v>2</v>
      </c>
      <c r="G129" s="4" t="n">
        <v>6000</v>
      </c>
      <c r="H129" s="4" t="n">
        <f aca="false">F129*G129</f>
        <v>12000</v>
      </c>
    </row>
    <row r="130" customFormat="false" ht="15" hidden="false" customHeight="false" outlineLevel="0" collapsed="false">
      <c r="A130" s="7" t="s">
        <v>172</v>
      </c>
      <c r="B130" s="11" t="n">
        <v>45793</v>
      </c>
      <c r="C130" s="7" t="n">
        <f aca="false">MONTH(B130)</f>
        <v>5</v>
      </c>
      <c r="D130" s="7" t="s">
        <v>13</v>
      </c>
      <c r="E130" s="7" t="s">
        <v>18</v>
      </c>
      <c r="F130" s="7" t="n">
        <v>7</v>
      </c>
      <c r="G130" s="4" t="n">
        <v>55000</v>
      </c>
      <c r="H130" s="4" t="n">
        <f aca="false">F130*G130</f>
        <v>385000</v>
      </c>
    </row>
    <row r="131" customFormat="false" ht="15" hidden="false" customHeight="false" outlineLevel="0" collapsed="false">
      <c r="A131" s="7" t="s">
        <v>173</v>
      </c>
      <c r="B131" s="11" t="n">
        <v>45958</v>
      </c>
      <c r="C131" s="7" t="n">
        <f aca="false">MONTH(B131)</f>
        <v>10</v>
      </c>
      <c r="D131" s="7" t="s">
        <v>15</v>
      </c>
      <c r="E131" s="7" t="s">
        <v>18</v>
      </c>
      <c r="F131" s="7" t="n">
        <v>1</v>
      </c>
      <c r="G131" s="4" t="n">
        <v>55000</v>
      </c>
      <c r="H131" s="4" t="n">
        <f aca="false">F131*G131</f>
        <v>55000</v>
      </c>
    </row>
    <row r="132" customFormat="false" ht="15" hidden="false" customHeight="false" outlineLevel="0" collapsed="false">
      <c r="A132" s="7" t="s">
        <v>174</v>
      </c>
      <c r="B132" s="11" t="n">
        <v>45811</v>
      </c>
      <c r="C132" s="7" t="n">
        <f aca="false">MONTH(B132)</f>
        <v>6</v>
      </c>
      <c r="D132" s="7" t="s">
        <v>13</v>
      </c>
      <c r="E132" s="7" t="s">
        <v>20</v>
      </c>
      <c r="F132" s="7" t="n">
        <v>2</v>
      </c>
      <c r="G132" s="4" t="n">
        <v>22000</v>
      </c>
      <c r="H132" s="4" t="n">
        <f aca="false">F132*G132</f>
        <v>44000</v>
      </c>
    </row>
    <row r="133" customFormat="false" ht="15" hidden="false" customHeight="false" outlineLevel="0" collapsed="false">
      <c r="A133" s="7" t="s">
        <v>175</v>
      </c>
      <c r="B133" s="11" t="n">
        <v>45957</v>
      </c>
      <c r="C133" s="7" t="n">
        <f aca="false">MONTH(B133)</f>
        <v>10</v>
      </c>
      <c r="D133" s="7" t="s">
        <v>13</v>
      </c>
      <c r="E133" s="7" t="s">
        <v>22</v>
      </c>
      <c r="F133" s="7" t="n">
        <v>7</v>
      </c>
      <c r="G133" s="4" t="n">
        <v>6000</v>
      </c>
      <c r="H133" s="4" t="n">
        <f aca="false">F133*G133</f>
        <v>42000</v>
      </c>
    </row>
    <row r="134" customFormat="false" ht="15" hidden="false" customHeight="false" outlineLevel="0" collapsed="false">
      <c r="A134" s="7" t="s">
        <v>176</v>
      </c>
      <c r="B134" s="11" t="n">
        <v>45824</v>
      </c>
      <c r="C134" s="7" t="n">
        <f aca="false">MONTH(B134)</f>
        <v>6</v>
      </c>
      <c r="D134" s="7" t="s">
        <v>13</v>
      </c>
      <c r="E134" s="7" t="s">
        <v>21</v>
      </c>
      <c r="F134" s="7" t="n">
        <v>5</v>
      </c>
      <c r="G134" s="4" t="n">
        <v>2500</v>
      </c>
      <c r="H134" s="4" t="n">
        <f aca="false">F134*G134</f>
        <v>12500</v>
      </c>
    </row>
    <row r="135" customFormat="false" ht="15" hidden="false" customHeight="false" outlineLevel="0" collapsed="false">
      <c r="A135" s="7" t="s">
        <v>177</v>
      </c>
      <c r="B135" s="11" t="n">
        <v>45974</v>
      </c>
      <c r="C135" s="7" t="n">
        <f aca="false">MONTH(B135)</f>
        <v>11</v>
      </c>
      <c r="D135" s="7" t="s">
        <v>12</v>
      </c>
      <c r="E135" s="7" t="s">
        <v>19</v>
      </c>
      <c r="F135" s="7" t="n">
        <v>7</v>
      </c>
      <c r="G135" s="4" t="n">
        <v>18000</v>
      </c>
      <c r="H135" s="4" t="n">
        <f aca="false">F135*G135</f>
        <v>126000</v>
      </c>
    </row>
    <row r="136" customFormat="false" ht="15" hidden="false" customHeight="false" outlineLevel="0" collapsed="false">
      <c r="A136" s="7" t="s">
        <v>178</v>
      </c>
      <c r="B136" s="11" t="n">
        <v>46016</v>
      </c>
      <c r="C136" s="7" t="n">
        <f aca="false">MONTH(B136)</f>
        <v>12</v>
      </c>
      <c r="D136" s="7" t="s">
        <v>13</v>
      </c>
      <c r="E136" s="7" t="s">
        <v>22</v>
      </c>
      <c r="F136" s="7" t="n">
        <v>1</v>
      </c>
      <c r="G136" s="4" t="n">
        <v>6000</v>
      </c>
      <c r="H136" s="4" t="n">
        <f aca="false">F136*G136</f>
        <v>6000</v>
      </c>
    </row>
    <row r="137" customFormat="false" ht="15" hidden="false" customHeight="false" outlineLevel="0" collapsed="false">
      <c r="A137" s="7" t="s">
        <v>179</v>
      </c>
      <c r="B137" s="11" t="n">
        <v>46009</v>
      </c>
      <c r="C137" s="7" t="n">
        <f aca="false">MONTH(B137)</f>
        <v>12</v>
      </c>
      <c r="D137" s="7" t="s">
        <v>13</v>
      </c>
      <c r="E137" s="7" t="s">
        <v>22</v>
      </c>
      <c r="F137" s="7" t="n">
        <v>2</v>
      </c>
      <c r="G137" s="4" t="n">
        <v>6000</v>
      </c>
      <c r="H137" s="4" t="n">
        <f aca="false">F137*G137</f>
        <v>12000</v>
      </c>
    </row>
    <row r="138" customFormat="false" ht="15" hidden="false" customHeight="false" outlineLevel="0" collapsed="false">
      <c r="A138" s="7" t="s">
        <v>180</v>
      </c>
      <c r="B138" s="11" t="n">
        <v>45673</v>
      </c>
      <c r="C138" s="7" t="n">
        <f aca="false">MONTH(B138)</f>
        <v>1</v>
      </c>
      <c r="D138" s="7" t="s">
        <v>13</v>
      </c>
      <c r="E138" s="7" t="s">
        <v>18</v>
      </c>
      <c r="F138" s="7" t="n">
        <v>6</v>
      </c>
      <c r="G138" s="4" t="n">
        <v>55000</v>
      </c>
      <c r="H138" s="4" t="n">
        <f aca="false">F138*G138</f>
        <v>330000</v>
      </c>
    </row>
    <row r="139" customFormat="false" ht="15" hidden="false" customHeight="false" outlineLevel="0" collapsed="false">
      <c r="A139" s="7" t="s">
        <v>181</v>
      </c>
      <c r="B139" s="11" t="n">
        <v>45711</v>
      </c>
      <c r="C139" s="7" t="n">
        <f aca="false">MONTH(B139)</f>
        <v>2</v>
      </c>
      <c r="D139" s="7" t="s">
        <v>15</v>
      </c>
      <c r="E139" s="7" t="s">
        <v>21</v>
      </c>
      <c r="F139" s="7" t="n">
        <v>1</v>
      </c>
      <c r="G139" s="4" t="n">
        <v>2500</v>
      </c>
      <c r="H139" s="4" t="n">
        <f aca="false">F139*G139</f>
        <v>2500</v>
      </c>
    </row>
    <row r="140" customFormat="false" ht="15" hidden="false" customHeight="false" outlineLevel="0" collapsed="false">
      <c r="A140" s="7" t="s">
        <v>182</v>
      </c>
      <c r="B140" s="11" t="n">
        <v>45979</v>
      </c>
      <c r="C140" s="7" t="n">
        <f aca="false">MONTH(B140)</f>
        <v>11</v>
      </c>
      <c r="D140" s="7" t="s">
        <v>13</v>
      </c>
      <c r="E140" s="7" t="s">
        <v>18</v>
      </c>
      <c r="F140" s="7" t="n">
        <v>8</v>
      </c>
      <c r="G140" s="4" t="n">
        <v>55000</v>
      </c>
      <c r="H140" s="4" t="n">
        <f aca="false">F140*G140</f>
        <v>440000</v>
      </c>
    </row>
    <row r="141" customFormat="false" ht="15" hidden="false" customHeight="false" outlineLevel="0" collapsed="false">
      <c r="A141" s="7" t="s">
        <v>183</v>
      </c>
      <c r="B141" s="11" t="n">
        <v>45793</v>
      </c>
      <c r="C141" s="7" t="n">
        <f aca="false">MONTH(B141)</f>
        <v>5</v>
      </c>
      <c r="D141" s="7" t="s">
        <v>15</v>
      </c>
      <c r="E141" s="7" t="s">
        <v>18</v>
      </c>
      <c r="F141" s="7" t="n">
        <v>2</v>
      </c>
      <c r="G141" s="4" t="n">
        <v>55000</v>
      </c>
      <c r="H141" s="4" t="n">
        <f aca="false">F141*G141</f>
        <v>110000</v>
      </c>
    </row>
    <row r="142" customFormat="false" ht="15" hidden="false" customHeight="false" outlineLevel="0" collapsed="false">
      <c r="A142" s="7" t="s">
        <v>184</v>
      </c>
      <c r="B142" s="11" t="n">
        <v>45915</v>
      </c>
      <c r="C142" s="7" t="n">
        <f aca="false">MONTH(B142)</f>
        <v>9</v>
      </c>
      <c r="D142" s="7" t="s">
        <v>12</v>
      </c>
      <c r="E142" s="7" t="s">
        <v>22</v>
      </c>
      <c r="F142" s="7" t="n">
        <v>2</v>
      </c>
      <c r="G142" s="4" t="n">
        <v>6000</v>
      </c>
      <c r="H142" s="4" t="n">
        <f aca="false">F142*G142</f>
        <v>12000</v>
      </c>
    </row>
    <row r="143" customFormat="false" ht="15" hidden="false" customHeight="false" outlineLevel="0" collapsed="false">
      <c r="A143" s="7" t="s">
        <v>185</v>
      </c>
      <c r="B143" s="11" t="n">
        <v>45900</v>
      </c>
      <c r="C143" s="7" t="n">
        <f aca="false">MONTH(B143)</f>
        <v>8</v>
      </c>
      <c r="D143" s="7" t="s">
        <v>12</v>
      </c>
      <c r="E143" s="7" t="s">
        <v>20</v>
      </c>
      <c r="F143" s="7" t="n">
        <v>5</v>
      </c>
      <c r="G143" s="4" t="n">
        <v>22000</v>
      </c>
      <c r="H143" s="4" t="n">
        <f aca="false">F143*G143</f>
        <v>110000</v>
      </c>
    </row>
    <row r="144" customFormat="false" ht="15" hidden="false" customHeight="false" outlineLevel="0" collapsed="false">
      <c r="A144" s="7" t="s">
        <v>186</v>
      </c>
      <c r="B144" s="11" t="n">
        <v>45778</v>
      </c>
      <c r="C144" s="7" t="n">
        <f aca="false">MONTH(B144)</f>
        <v>5</v>
      </c>
      <c r="D144" s="7" t="s">
        <v>13</v>
      </c>
      <c r="E144" s="7" t="s">
        <v>19</v>
      </c>
      <c r="F144" s="7" t="n">
        <v>8</v>
      </c>
      <c r="G144" s="4" t="n">
        <v>18000</v>
      </c>
      <c r="H144" s="4" t="n">
        <f aca="false">F144*G144</f>
        <v>144000</v>
      </c>
    </row>
    <row r="145" customFormat="false" ht="15" hidden="false" customHeight="false" outlineLevel="0" collapsed="false">
      <c r="A145" s="7" t="s">
        <v>187</v>
      </c>
      <c r="B145" s="11" t="n">
        <v>45910</v>
      </c>
      <c r="C145" s="7" t="n">
        <f aca="false">MONTH(B145)</f>
        <v>9</v>
      </c>
      <c r="D145" s="7" t="s">
        <v>12</v>
      </c>
      <c r="E145" s="7" t="s">
        <v>21</v>
      </c>
      <c r="F145" s="7" t="n">
        <v>8</v>
      </c>
      <c r="G145" s="4" t="n">
        <v>2500</v>
      </c>
      <c r="H145" s="4" t="n">
        <f aca="false">F145*G145</f>
        <v>20000</v>
      </c>
    </row>
    <row r="146" customFormat="false" ht="15" hidden="false" customHeight="false" outlineLevel="0" collapsed="false">
      <c r="A146" s="7" t="s">
        <v>188</v>
      </c>
      <c r="B146" s="11" t="n">
        <v>46008</v>
      </c>
      <c r="C146" s="7" t="n">
        <f aca="false">MONTH(B146)</f>
        <v>12</v>
      </c>
      <c r="D146" s="7" t="s">
        <v>12</v>
      </c>
      <c r="E146" s="7" t="s">
        <v>20</v>
      </c>
      <c r="F146" s="7" t="n">
        <v>4</v>
      </c>
      <c r="G146" s="4" t="n">
        <v>22000</v>
      </c>
      <c r="H146" s="4" t="n">
        <f aca="false">F146*G146</f>
        <v>88000</v>
      </c>
    </row>
    <row r="147" customFormat="false" ht="15" hidden="false" customHeight="false" outlineLevel="0" collapsed="false">
      <c r="A147" s="7" t="s">
        <v>189</v>
      </c>
      <c r="B147" s="11" t="n">
        <v>45697</v>
      </c>
      <c r="C147" s="7" t="n">
        <f aca="false">MONTH(B147)</f>
        <v>2</v>
      </c>
      <c r="D147" s="7" t="s">
        <v>13</v>
      </c>
      <c r="E147" s="7" t="s">
        <v>22</v>
      </c>
      <c r="F147" s="7" t="n">
        <v>6</v>
      </c>
      <c r="G147" s="4" t="n">
        <v>6000</v>
      </c>
      <c r="H147" s="4" t="n">
        <f aca="false">F147*G147</f>
        <v>36000</v>
      </c>
    </row>
    <row r="148" customFormat="false" ht="15" hidden="false" customHeight="false" outlineLevel="0" collapsed="false">
      <c r="A148" s="7" t="s">
        <v>190</v>
      </c>
      <c r="B148" s="11" t="n">
        <v>45788</v>
      </c>
      <c r="C148" s="7" t="n">
        <f aca="false">MONTH(B148)</f>
        <v>5</v>
      </c>
      <c r="D148" s="7" t="s">
        <v>13</v>
      </c>
      <c r="E148" s="7" t="s">
        <v>20</v>
      </c>
      <c r="F148" s="7" t="n">
        <v>1</v>
      </c>
      <c r="G148" s="4" t="n">
        <v>22000</v>
      </c>
      <c r="H148" s="4" t="n">
        <f aca="false">F148*G148</f>
        <v>22000</v>
      </c>
    </row>
    <row r="149" customFormat="false" ht="15" hidden="false" customHeight="false" outlineLevel="0" collapsed="false">
      <c r="A149" s="7" t="s">
        <v>191</v>
      </c>
      <c r="B149" s="11" t="n">
        <v>45904</v>
      </c>
      <c r="C149" s="7" t="n">
        <f aca="false">MONTH(B149)</f>
        <v>9</v>
      </c>
      <c r="D149" s="7" t="s">
        <v>15</v>
      </c>
      <c r="E149" s="7" t="s">
        <v>18</v>
      </c>
      <c r="F149" s="7" t="n">
        <v>5</v>
      </c>
      <c r="G149" s="4" t="n">
        <v>55000</v>
      </c>
      <c r="H149" s="4" t="n">
        <f aca="false">F149*G149</f>
        <v>275000</v>
      </c>
    </row>
    <row r="150" customFormat="false" ht="15" hidden="false" customHeight="false" outlineLevel="0" collapsed="false">
      <c r="A150" s="7" t="s">
        <v>192</v>
      </c>
      <c r="B150" s="11" t="n">
        <v>46002</v>
      </c>
      <c r="C150" s="7" t="n">
        <f aca="false">MONTH(B150)</f>
        <v>12</v>
      </c>
      <c r="D150" s="7" t="s">
        <v>13</v>
      </c>
      <c r="E150" s="7" t="s">
        <v>18</v>
      </c>
      <c r="F150" s="7" t="n">
        <v>8</v>
      </c>
      <c r="G150" s="4" t="n">
        <v>55000</v>
      </c>
      <c r="H150" s="4" t="n">
        <f aca="false">F150*G150</f>
        <v>440000</v>
      </c>
    </row>
    <row r="151" customFormat="false" ht="15" hidden="false" customHeight="false" outlineLevel="0" collapsed="false">
      <c r="A151" s="7" t="s">
        <v>193</v>
      </c>
      <c r="B151" s="11" t="n">
        <v>45806</v>
      </c>
      <c r="C151" s="7" t="n">
        <f aca="false">MONTH(B151)</f>
        <v>5</v>
      </c>
      <c r="D151" s="7" t="s">
        <v>14</v>
      </c>
      <c r="E151" s="7" t="s">
        <v>22</v>
      </c>
      <c r="F151" s="7" t="n">
        <v>8</v>
      </c>
      <c r="G151" s="4" t="n">
        <v>6000</v>
      </c>
      <c r="H151" s="4" t="n">
        <f aca="false">F151*G151</f>
        <v>48000</v>
      </c>
    </row>
  </sheetData>
  <autoFilter ref="A1:H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2026-10-09T13:21:51Z</dcterms:created>
  <dc:creator>openpyxl</dc:creator>
  <dc:description/>
  <dc:language>en-US</dc:language>
  <cp:lastModifiedBy/>
  <dcterms:modified xsi:type="dcterms:W3CDTF">2026-10-09T13:21:54Z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